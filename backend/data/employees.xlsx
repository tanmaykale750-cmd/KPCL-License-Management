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Overview" sheetId="1" state="visible" r:id="rId1"/>
    <sheet xmlns:r="http://schemas.openxmlformats.org/officeDocument/2006/relationships" name="ML_Training_Dataset" sheetId="2" state="visible" r:id="rId2"/>
    <sheet xmlns:r="http://schemas.openxmlformats.org/officeDocument/2006/relationships" name="User_Admin_Roster" sheetId="3" state="visible" r:id="rId3"/>
    <sheet xmlns:r="http://schemas.openxmlformats.org/officeDocument/2006/relationships" name="Data_Diction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$#,##0.00"/>
    <numFmt numFmtId="167" formatCode="0.0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b val="1"/>
      <color rgb="009C0006"/>
      <sz val="10"/>
    </font>
    <font>
      <name val="Calibri"/>
      <b val="1"/>
      <color rgb="00006100"/>
      <sz val="10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2F5496"/>
        <bgColor rgb="002F5496"/>
      </patternFill>
    </fill>
    <fill>
      <patternFill patternType="solid">
        <fgColor rgb="00F9FAFB"/>
        <bgColor rgb="00F9FAFB"/>
      </patternFill>
    </fill>
    <fill>
      <patternFill patternType="solid">
        <fgColor rgb="00FFC7CE"/>
        <bgColor rgb="00FFC7CE"/>
      </patternFill>
    </fill>
    <fill>
      <patternFill patternType="solid">
        <fgColor rgb="00FFFFFF"/>
        <bgColor rgb="00FFFFFF"/>
      </patternFill>
    </fill>
    <fill>
      <patternFill patternType="solid">
        <fgColor rgb="00C6EFCE"/>
        <bgColor rgb="00C6EFCE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1F3864"/>
      </top>
      <bottom style="medium">
        <color rgb="001F3864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3" fontId="4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  <xf numFmtId="165" fontId="4" fillId="3" borderId="1" applyAlignment="1" pivotButton="0" quotePrefix="0" xfId="0">
      <alignment horizontal="right"/>
    </xf>
    <xf numFmtId="166" fontId="4" fillId="3" borderId="1" applyAlignment="1" pivotButton="0" quotePrefix="0" xfId="0">
      <alignment horizontal="right"/>
    </xf>
    <xf numFmtId="0" fontId="3" fillId="4" borderId="2" applyAlignment="1" pivotButton="0" quotePrefix="0" xfId="0">
      <alignment horizontal="center" vertical="center"/>
    </xf>
    <xf numFmtId="0" fontId="5" fillId="0" borderId="1" pivotButton="0" quotePrefix="0" xfId="0"/>
    <xf numFmtId="3" fontId="5" fillId="3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166" fontId="5" fillId="3" borderId="1" applyAlignment="1" pivotButton="0" quotePrefix="0" xfId="0">
      <alignment horizontal="right"/>
    </xf>
    <xf numFmtId="0" fontId="6" fillId="0" borderId="3" pivotButton="0" quotePrefix="0" xfId="0"/>
    <xf numFmtId="0" fontId="5" fillId="0" borderId="3" pivotButton="0" quotePrefix="0" xfId="0"/>
    <xf numFmtId="3" fontId="6" fillId="0" borderId="3" applyAlignment="1" pivotButton="0" quotePrefix="0" xfId="0">
      <alignment horizontal="right"/>
    </xf>
    <xf numFmtId="164" fontId="6" fillId="0" borderId="3" applyAlignment="1" pivotButton="0" quotePrefix="0" xfId="0">
      <alignment horizontal="right"/>
    </xf>
    <xf numFmtId="166" fontId="6" fillId="0" borderId="3" applyAlignment="1" pivotButton="0" quotePrefix="0" xfId="0">
      <alignment horizontal="right"/>
    </xf>
    <xf numFmtId="0" fontId="3" fillId="4" borderId="2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/>
    </xf>
    <xf numFmtId="0" fontId="5" fillId="5" borderId="1" pivotButton="0" quotePrefix="0" xfId="0"/>
    <xf numFmtId="0" fontId="6" fillId="5" borderId="1" pivotButton="0" quotePrefix="0" xfId="0"/>
    <xf numFmtId="167" fontId="5" fillId="5" borderId="1" applyAlignment="1" pivotButton="0" quotePrefix="0" xfId="0">
      <alignment horizontal="right"/>
    </xf>
    <xf numFmtId="165" fontId="5" fillId="5" borderId="1" applyAlignment="1" pivotButton="0" quotePrefix="0" xfId="0">
      <alignment horizontal="right"/>
    </xf>
    <xf numFmtId="3" fontId="5" fillId="5" borderId="1" applyAlignment="1" pivotButton="0" quotePrefix="0" xfId="0">
      <alignment horizontal="right"/>
    </xf>
    <xf numFmtId="166" fontId="5" fillId="5" borderId="1" applyAlignment="1" pivotButton="0" quotePrefix="0" xfId="0">
      <alignment horizontal="right"/>
    </xf>
    <xf numFmtId="0" fontId="7" fillId="6" borderId="1" pivotButton="0" quotePrefix="0" xfId="0"/>
    <xf numFmtId="0" fontId="5" fillId="7" borderId="1" applyAlignment="1" pivotButton="0" quotePrefix="0" xfId="0">
      <alignment horizontal="center"/>
    </xf>
    <xf numFmtId="0" fontId="5" fillId="7" borderId="1" pivotButton="0" quotePrefix="0" xfId="0"/>
    <xf numFmtId="0" fontId="6" fillId="7" borderId="1" pivotButton="0" quotePrefix="0" xfId="0"/>
    <xf numFmtId="167" fontId="5" fillId="7" borderId="1" applyAlignment="1" pivotButton="0" quotePrefix="0" xfId="0">
      <alignment horizontal="right"/>
    </xf>
    <xf numFmtId="165" fontId="5" fillId="7" borderId="1" applyAlignment="1" pivotButton="0" quotePrefix="0" xfId="0">
      <alignment horizontal="right"/>
    </xf>
    <xf numFmtId="3" fontId="5" fillId="7" borderId="1" applyAlignment="1" pivotButton="0" quotePrefix="0" xfId="0">
      <alignment horizontal="right"/>
    </xf>
    <xf numFmtId="166" fontId="5" fillId="7" borderId="1" applyAlignment="1" pivotButton="0" quotePrefix="0" xfId="0">
      <alignment horizontal="right"/>
    </xf>
    <xf numFmtId="0" fontId="8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48" customWidth="1" min="2" max="2"/>
    <col width="19" customWidth="1" min="3" max="3"/>
    <col width="20" customWidth="1" min="4" max="4"/>
    <col width="24" customWidth="1" min="5" max="5"/>
  </cols>
  <sheetData>
    <row r="1">
      <c r="A1" s="1" t="inlineStr">
        <is>
          <t>KPCL Engineering Software License &amp; Telemetry Dataset</t>
        </is>
      </c>
    </row>
    <row r="2">
      <c r="A2" s="2" t="inlineStr">
        <is>
          <t>Generated for Enterprise AI &amp; License Optimization | v2.0 (with Role &amp; Email Identification)</t>
        </is>
      </c>
    </row>
    <row r="4">
      <c r="A4" s="3" t="inlineStr">
        <is>
          <t>DATASET METRIC SUMMARY</t>
        </is>
      </c>
    </row>
    <row r="5">
      <c r="A5" s="4" t="inlineStr">
        <is>
          <t>Total Telemetry Session Records Logged</t>
        </is>
      </c>
      <c r="B5" s="5">
        <f>COUNTA(ML_Training_Dataset!A2:A31)</f>
        <v/>
      </c>
    </row>
    <row r="6">
      <c r="A6" s="4" t="inlineStr">
        <is>
          <t>Total Monitored Users (Admins, Heads, Workers, Engineers)</t>
        </is>
      </c>
      <c r="B6" s="5">
        <f>COUNTA(User_Admin_Roster!A2:A28)</f>
        <v/>
      </c>
    </row>
    <row r="7">
      <c r="A7" s="4" t="inlineStr">
        <is>
          <t>Total Active Compute Hours Logged</t>
        </is>
      </c>
      <c r="B7" s="6">
        <f>SUM(ML_Training_Dataset!R2:R31)</f>
        <v/>
      </c>
    </row>
    <row r="8">
      <c r="A8" s="4" t="inlineStr">
        <is>
          <t>Total Reclaimable Idle Hours Logged</t>
        </is>
      </c>
      <c r="B8" s="6">
        <f>SUM(ML_Training_Dataset!S2:S31)</f>
        <v/>
      </c>
    </row>
    <row r="9">
      <c r="A9" s="4" t="inlineStr">
        <is>
          <t>Overall Idle Session Ratio (%)</t>
        </is>
      </c>
      <c r="B9" s="7">
        <f>COUNTIF(ML_Training_Dataset!Y2:Y31, 1)/COUNTA(ML_Training_Dataset!Y2:Y31)</f>
        <v/>
      </c>
    </row>
    <row r="10">
      <c r="A10" s="4" t="inlineStr">
        <is>
          <t>Total Estimated Financial Waste ($)</t>
        </is>
      </c>
      <c r="B10" s="8">
        <f>SUM(ML_Training_Dataset!AA2:AA31)</f>
        <v/>
      </c>
    </row>
    <row r="12">
      <c r="A12" s="3" t="inlineStr">
        <is>
          <t>ROLE CATEGORY &amp; EMAIL MAPPING SUMMARY</t>
        </is>
      </c>
    </row>
    <row r="13">
      <c r="A13" s="9" t="inlineStr">
        <is>
          <t>Role Category</t>
        </is>
      </c>
      <c r="B13" s="9" t="inlineStr">
        <is>
          <t>Domain Email Format</t>
        </is>
      </c>
      <c r="C13" s="9" t="inlineStr">
        <is>
          <t>Monitored Users</t>
        </is>
      </c>
      <c r="D13" s="9" t="inlineStr">
        <is>
          <t>Total Idle Hours</t>
        </is>
      </c>
      <c r="E13" s="9" t="inlineStr">
        <is>
          <t>Est. Wasted Cost ($)</t>
        </is>
      </c>
    </row>
    <row r="14">
      <c r="A14" s="10" t="inlineStr">
        <is>
          <t>System Admin</t>
        </is>
      </c>
      <c r="B14" s="10" t="inlineStr">
        <is>
          <t>*admin*@kpcl.com / admin.*@kpcl.com</t>
        </is>
      </c>
      <c r="C14" s="11">
        <f>COUNTIF(User_Admin_Roster!D2:D28, "System Admin")</f>
        <v/>
      </c>
      <c r="D14" s="12">
        <f>SUMIF(ML_Training_Dataset!E2:E31, "System Admin", ML_Training_Dataset!S2:S31)</f>
        <v/>
      </c>
      <c r="E14" s="13">
        <f>SUMIF(ML_Training_Dataset!E2:E31, "System Admin", ML_Training_Dataset!AA2:AA31)</f>
        <v/>
      </c>
    </row>
    <row r="15">
      <c r="A15" s="10" t="inlineStr">
        <is>
          <t>Department Head</t>
        </is>
      </c>
      <c r="B15" s="10" t="inlineStr">
        <is>
          <t>*.depthead@kpcl.com</t>
        </is>
      </c>
      <c r="C15" s="11">
        <f>COUNTIF(User_Admin_Roster!D2:D28, "Department Head")</f>
        <v/>
      </c>
      <c r="D15" s="12">
        <f>SUMIF(ML_Training_Dataset!E2:E31, "Department Head", ML_Training_Dataset!S2:S31)</f>
        <v/>
      </c>
      <c r="E15" s="13">
        <f>SUMIF(ML_Training_Dataset!E2:E31, "Department Head", ML_Training_Dataset!AA2:AA31)</f>
        <v/>
      </c>
    </row>
    <row r="16">
      <c r="A16" s="10" t="inlineStr">
        <is>
          <t>Project Head</t>
        </is>
      </c>
      <c r="B16" s="10" t="inlineStr">
        <is>
          <t>*.projecthead@kpcl.com</t>
        </is>
      </c>
      <c r="C16" s="11">
        <f>COUNTIF(User_Admin_Roster!D2:D28, "Project Head")</f>
        <v/>
      </c>
      <c r="D16" s="12">
        <f>SUMIF(ML_Training_Dataset!E2:E31, "Project Head", ML_Training_Dataset!S2:S31)</f>
        <v/>
      </c>
      <c r="E16" s="13">
        <f>SUMIF(ML_Training_Dataset!E2:E31, "Project Head", ML_Training_Dataset!AA2:AA31)</f>
        <v/>
      </c>
    </row>
    <row r="17">
      <c r="A17" s="10" t="inlineStr">
        <is>
          <t>Project Worker</t>
        </is>
      </c>
      <c r="B17" s="10" t="inlineStr">
        <is>
          <t>*.contractor@kpcl.com / worker.*@kpcl.com</t>
        </is>
      </c>
      <c r="C17" s="11">
        <f>COUNTIF(User_Admin_Roster!D2:D28, "Project Worker")</f>
        <v/>
      </c>
      <c r="D17" s="12">
        <f>SUMIF(ML_Training_Dataset!E2:E31, "Project Worker", ML_Training_Dataset!S2:S31)</f>
        <v/>
      </c>
      <c r="E17" s="13">
        <f>SUMIF(ML_Training_Dataset!E2:E31, "Project Worker", ML_Training_Dataset!AA2:AA31)</f>
        <v/>
      </c>
    </row>
    <row r="18">
      <c r="A18" s="10" t="inlineStr">
        <is>
          <t>Staff Engineer</t>
        </is>
      </c>
      <c r="B18" s="10" t="inlineStr">
        <is>
          <t>*.eng@kpcl.com / firstname.lastname@kpcl.com</t>
        </is>
      </c>
      <c r="C18" s="11">
        <f>COUNTIF(User_Admin_Roster!D2:D28, "Staff Engineer")</f>
        <v/>
      </c>
      <c r="D18" s="12">
        <f>SUMIF(ML_Training_Dataset!E2:E31, "Staff Engineer", ML_Training_Dataset!S2:S31)</f>
        <v/>
      </c>
      <c r="E18" s="13">
        <f>SUMIF(ML_Training_Dataset!E2:E31, "Staff Engineer", ML_Training_Dataset!AA2:AA31)</f>
        <v/>
      </c>
    </row>
    <row r="19">
      <c r="A19" s="14" t="inlineStr">
        <is>
          <t>Total</t>
        </is>
      </c>
      <c r="B19" s="15" t="inlineStr">
        <is>
          <t>-</t>
        </is>
      </c>
      <c r="C19" s="16">
        <f>SUM(C14:C18)</f>
        <v/>
      </c>
      <c r="D19" s="17">
        <f>SUM(D14:D18)</f>
        <v/>
      </c>
      <c r="E19" s="18">
        <f>SUM(E14:E18)</f>
        <v/>
      </c>
    </row>
  </sheetData>
  <mergeCells count="2">
    <mergeCell ref="A4:D4"/>
    <mergeCell ref="A12:E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5" customWidth="1" min="3" max="3"/>
    <col width="34" customWidth="1" min="4" max="4"/>
    <col width="18" customWidth="1" min="5" max="5"/>
    <col width="30" customWidth="1" min="6" max="6"/>
    <col width="25" customWidth="1" min="7" max="7"/>
    <col width="19" customWidth="1" min="8" max="8"/>
    <col width="12" customWidth="1" min="9" max="9"/>
    <col width="34" customWidth="1" min="10" max="10"/>
    <col width="19" customWidth="1" min="11" max="11"/>
    <col width="15" customWidth="1" min="12" max="12"/>
    <col width="23" customWidth="1" min="13" max="13"/>
    <col width="22" customWidth="1" min="14" max="14"/>
    <col width="17" customWidth="1" min="15" max="15"/>
    <col width="23" customWidth="1" min="16" max="16"/>
    <col width="24" customWidth="1" min="17" max="17"/>
    <col width="20" customWidth="1" min="18" max="18"/>
    <col width="21" customWidth="1" min="19" max="19"/>
    <col width="27" customWidth="1" min="20" max="20"/>
    <col width="31" customWidth="1" min="21" max="21"/>
    <col width="20" customWidth="1" min="22" max="22"/>
    <col width="22" customWidth="1" min="23" max="23"/>
    <col width="27" customWidth="1" min="24" max="24"/>
    <col width="21" customWidth="1" min="25" max="25"/>
    <col width="23" customWidth="1" min="26" max="26"/>
    <col width="25" customWidth="1" min="27" max="27"/>
    <col width="34" customWidth="1" min="28" max="28"/>
  </cols>
  <sheetData>
    <row r="1" ht="28" customHeight="1">
      <c r="A1" s="19" t="inlineStr">
        <is>
          <t>Record_ID</t>
        </is>
      </c>
      <c r="B1" s="19" t="inlineStr">
        <is>
          <t>Employee_Name</t>
        </is>
      </c>
      <c r="C1" s="19" t="inlineStr">
        <is>
          <t>Employee_ID</t>
        </is>
      </c>
      <c r="D1" s="19" t="inlineStr">
        <is>
          <t>Employee_Email</t>
        </is>
      </c>
      <c r="E1" s="19" t="inlineStr">
        <is>
          <t>Role_Category</t>
        </is>
      </c>
      <c r="F1" s="19" t="inlineStr">
        <is>
          <t>Employee_Role</t>
        </is>
      </c>
      <c r="G1" s="19" t="inlineStr">
        <is>
          <t>Department</t>
        </is>
      </c>
      <c r="H1" s="19" t="inlineStr">
        <is>
          <t>Admin_Name</t>
        </is>
      </c>
      <c r="I1" s="19" t="inlineStr">
        <is>
          <t>Admin_ID</t>
        </is>
      </c>
      <c r="J1" s="19" t="inlineStr">
        <is>
          <t>Admin_Email</t>
        </is>
      </c>
      <c r="K1" s="19" t="inlineStr">
        <is>
          <t>Admin_Dept</t>
        </is>
      </c>
      <c r="L1" s="19" t="inlineStr">
        <is>
          <t>Project_ID</t>
        </is>
      </c>
      <c r="M1" s="19" t="inlineStr">
        <is>
          <t>Project_Phase</t>
        </is>
      </c>
      <c r="N1" s="19" t="inlineStr">
        <is>
          <t>Software_Tool</t>
        </is>
      </c>
      <c r="O1" s="19" t="inlineStr">
        <is>
          <t>License_Type</t>
        </is>
      </c>
      <c r="P1" s="19" t="inlineStr">
        <is>
          <t>Session_Start</t>
        </is>
      </c>
      <c r="Q1" s="19" t="inlineStr">
        <is>
          <t>Session_Duration_Hrs</t>
        </is>
      </c>
      <c r="R1" s="19" t="inlineStr">
        <is>
          <t>Active_Usage_Hrs</t>
        </is>
      </c>
      <c r="S1" s="19" t="inlineStr">
        <is>
          <t>Idle_Duration_Hrs</t>
        </is>
      </c>
      <c r="T1" s="19" t="inlineStr">
        <is>
          <t>CPU_GPU_Utilization_Pct</t>
        </is>
      </c>
      <c r="U1" s="19" t="inlineStr">
        <is>
          <t>Keyboard_Mouse_Activity_Pct</t>
        </is>
      </c>
      <c r="V1" s="19" t="inlineStr">
        <is>
          <t>Concurrency_Peak</t>
        </is>
      </c>
      <c r="W1" s="19" t="inlineStr">
        <is>
          <t>Owned_License_Pool</t>
        </is>
      </c>
      <c r="X1" s="19" t="inlineStr">
        <is>
          <t>True_Active_Concurrency</t>
        </is>
      </c>
      <c r="Y1" s="19" t="inlineStr">
        <is>
          <t>Idle_Session_Flag</t>
        </is>
      </c>
      <c r="Z1" s="19" t="inlineStr">
        <is>
          <t>Hourly_License_Cost</t>
        </is>
      </c>
      <c r="AA1" s="19" t="inlineStr">
        <is>
          <t>Estimated_Wasted_Cost</t>
        </is>
      </c>
      <c r="AB1" s="19" t="inlineStr">
        <is>
          <t>Recommended_Action</t>
        </is>
      </c>
    </row>
    <row r="2">
      <c r="A2" s="20" t="n">
        <v>1</v>
      </c>
      <c r="B2" s="21" t="inlineStr">
        <is>
          <t>Rahul Sharma</t>
        </is>
      </c>
      <c r="C2" s="20" t="inlineStr">
        <is>
          <t>EMP001</t>
        </is>
      </c>
      <c r="D2" s="22" t="inlineStr">
        <is>
          <t>rahul.sharma@kpcl.com</t>
        </is>
      </c>
      <c r="E2" s="22" t="inlineStr">
        <is>
          <t>Staff Engineer</t>
        </is>
      </c>
      <c r="F2" s="21" t="inlineStr">
        <is>
          <t>Senior Mechanical Engineer</t>
        </is>
      </c>
      <c r="G2" s="21" t="inlineStr">
        <is>
          <t>Product R&amp;D</t>
        </is>
      </c>
      <c r="H2" s="21" t="inlineStr">
        <is>
          <t>Prakash Varma</t>
        </is>
      </c>
      <c r="I2" s="20" t="inlineStr">
        <is>
          <t>ADM101</t>
        </is>
      </c>
      <c r="J2" s="22" t="inlineStr">
        <is>
          <t>prakash.varma.admin@kpcl.com</t>
        </is>
      </c>
      <c r="K2" s="21" t="inlineStr">
        <is>
          <t>IT &amp; SAM</t>
        </is>
      </c>
      <c r="L2" s="20" t="inlineStr">
        <is>
          <t>PRJ-KPCL-01</t>
        </is>
      </c>
      <c r="M2" s="21" t="inlineStr">
        <is>
          <t>CAD Drafting</t>
        </is>
      </c>
      <c r="N2" s="21" t="inlineStr">
        <is>
          <t>SolidWorks Premium</t>
        </is>
      </c>
      <c r="O2" s="20" t="inlineStr">
        <is>
          <t>Floating</t>
        </is>
      </c>
      <c r="P2" s="21" t="inlineStr">
        <is>
          <t>2026-10-20 08:30:00</t>
        </is>
      </c>
      <c r="Q2" s="23" t="n">
        <v>8.5</v>
      </c>
      <c r="R2" s="23" t="n">
        <v>3.2</v>
      </c>
      <c r="S2" s="23" t="n">
        <v>5.3</v>
      </c>
      <c r="T2" s="24" t="n">
        <v>0.08</v>
      </c>
      <c r="U2" s="24" t="n">
        <v>0.12</v>
      </c>
      <c r="V2" s="25" t="n">
        <v>18</v>
      </c>
      <c r="W2" s="25" t="n">
        <v>20</v>
      </c>
      <c r="X2" s="25" t="n">
        <v>12</v>
      </c>
      <c r="Y2" s="20" t="n">
        <v>1</v>
      </c>
      <c r="Z2" s="26" t="n">
        <v>15</v>
      </c>
      <c r="AA2" s="13">
        <f>S2*Z2</f>
        <v/>
      </c>
      <c r="AB2" s="27" t="inlineStr">
        <is>
          <t>Harvest Idle Session &amp; Suspend</t>
        </is>
      </c>
    </row>
    <row r="3">
      <c r="A3" s="28" t="n">
        <v>2</v>
      </c>
      <c r="B3" s="29" t="inlineStr">
        <is>
          <t>Ananya Patel</t>
        </is>
      </c>
      <c r="C3" s="28" t="inlineStr">
        <is>
          <t>EMP002</t>
        </is>
      </c>
      <c r="D3" s="30" t="inlineStr">
        <is>
          <t>ananya.patel@kpcl.com</t>
        </is>
      </c>
      <c r="E3" s="30" t="inlineStr">
        <is>
          <t>Staff Engineer</t>
        </is>
      </c>
      <c r="F3" s="29" t="inlineStr">
        <is>
          <t>CAE Simulation Specialist</t>
        </is>
      </c>
      <c r="G3" s="29" t="inlineStr">
        <is>
          <t>Analysis &amp; CAE</t>
        </is>
      </c>
      <c r="H3" s="29" t="inlineStr">
        <is>
          <t>Prakash Varma</t>
        </is>
      </c>
      <c r="I3" s="28" t="inlineStr">
        <is>
          <t>ADM101</t>
        </is>
      </c>
      <c r="J3" s="30" t="inlineStr">
        <is>
          <t>prakash.varma.admin@kpcl.com</t>
        </is>
      </c>
      <c r="K3" s="29" t="inlineStr">
        <is>
          <t>IT &amp; SAM</t>
        </is>
      </c>
      <c r="L3" s="28" t="inlineStr">
        <is>
          <t>PRJ-KPCL-01</t>
        </is>
      </c>
      <c r="M3" s="29" t="inlineStr">
        <is>
          <t>CFD Simulation</t>
        </is>
      </c>
      <c r="N3" s="29" t="inlineStr">
        <is>
          <t>ANSYS Mechanical</t>
        </is>
      </c>
      <c r="O3" s="28" t="inlineStr">
        <is>
          <t>Floating</t>
        </is>
      </c>
      <c r="P3" s="29" t="inlineStr">
        <is>
          <t>2026-10-20 09:00:00</t>
        </is>
      </c>
      <c r="Q3" s="31" t="n">
        <v>9</v>
      </c>
      <c r="R3" s="31" t="n">
        <v>8.5</v>
      </c>
      <c r="S3" s="31" t="n">
        <v>0.5</v>
      </c>
      <c r="T3" s="32" t="n">
        <v>0.92</v>
      </c>
      <c r="U3" s="32" t="n">
        <v>0.15</v>
      </c>
      <c r="V3" s="33" t="n">
        <v>14</v>
      </c>
      <c r="W3" s="33" t="n">
        <v>15</v>
      </c>
      <c r="X3" s="33" t="n">
        <v>13</v>
      </c>
      <c r="Y3" s="28" t="n">
        <v>0</v>
      </c>
      <c r="Z3" s="34" t="n">
        <v>45</v>
      </c>
      <c r="AA3" s="13">
        <f>S3*Z3</f>
        <v/>
      </c>
      <c r="AB3" s="35" t="inlineStr">
        <is>
          <t>Maintain Active Session</t>
        </is>
      </c>
    </row>
    <row r="4">
      <c r="A4" s="20" t="n">
        <v>3</v>
      </c>
      <c r="B4" s="21" t="inlineStr">
        <is>
          <t>Vikram Deshmukh</t>
        </is>
      </c>
      <c r="C4" s="20" t="inlineStr">
        <is>
          <t>EMP003</t>
        </is>
      </c>
      <c r="D4" s="22" t="inlineStr">
        <is>
          <t>vikram.contractor@kpcl.com</t>
        </is>
      </c>
      <c r="E4" s="22" t="inlineStr">
        <is>
          <t>Project Worker</t>
        </is>
      </c>
      <c r="F4" s="21" t="inlineStr">
        <is>
          <t>Contract CAD Drafter</t>
        </is>
      </c>
      <c r="G4" s="21" t="inlineStr">
        <is>
          <t>Tooling &amp; Plant</t>
        </is>
      </c>
      <c r="H4" s="21" t="inlineStr">
        <is>
          <t>Prakash Varma</t>
        </is>
      </c>
      <c r="I4" s="20" t="inlineStr">
        <is>
          <t>ADM101</t>
        </is>
      </c>
      <c r="J4" s="22" t="inlineStr">
        <is>
          <t>prakash.varma.admin@kpcl.com</t>
        </is>
      </c>
      <c r="K4" s="21" t="inlineStr">
        <is>
          <t>IT &amp; SAM</t>
        </is>
      </c>
      <c r="L4" s="20" t="inlineStr">
        <is>
          <t>PRJ-KPCL-02</t>
        </is>
      </c>
      <c r="M4" s="21" t="inlineStr">
        <is>
          <t>Detailing</t>
        </is>
      </c>
      <c r="N4" s="21" t="inlineStr">
        <is>
          <t>Autodesk Inventor</t>
        </is>
      </c>
      <c r="O4" s="20" t="inlineStr">
        <is>
          <t>Floating</t>
        </is>
      </c>
      <c r="P4" s="21" t="inlineStr">
        <is>
          <t>2026-10-20 08:00:00</t>
        </is>
      </c>
      <c r="Q4" s="23" t="n">
        <v>7.5</v>
      </c>
      <c r="R4" s="23" t="n">
        <v>2</v>
      </c>
      <c r="S4" s="23" t="n">
        <v>5.5</v>
      </c>
      <c r="T4" s="24" t="n">
        <v>0.05</v>
      </c>
      <c r="U4" s="24" t="n">
        <v>0.08</v>
      </c>
      <c r="V4" s="25" t="n">
        <v>22</v>
      </c>
      <c r="W4" s="25" t="n">
        <v>25</v>
      </c>
      <c r="X4" s="25" t="n">
        <v>15</v>
      </c>
      <c r="Y4" s="20" t="n">
        <v>1</v>
      </c>
      <c r="Z4" s="26" t="n">
        <v>12.5</v>
      </c>
      <c r="AA4" s="13">
        <f>S4*Z4</f>
        <v/>
      </c>
      <c r="AB4" s="27" t="inlineStr">
        <is>
          <t>Harvest Idle Session &amp; Suspend</t>
        </is>
      </c>
    </row>
    <row r="5">
      <c r="A5" s="28" t="n">
        <v>4</v>
      </c>
      <c r="B5" s="29" t="inlineStr">
        <is>
          <t>Suresh Kulkarni</t>
        </is>
      </c>
      <c r="C5" s="28" t="inlineStr">
        <is>
          <t>ADM102</t>
        </is>
      </c>
      <c r="D5" s="30" t="inlineStr">
        <is>
          <t>suresh.kulkarni.admin@kpcl.com</t>
        </is>
      </c>
      <c r="E5" s="30" t="inlineStr">
        <is>
          <t>System Admin</t>
        </is>
      </c>
      <c r="F5" s="29" t="inlineStr">
        <is>
          <t>IT SAM &amp; License Admin</t>
        </is>
      </c>
      <c r="G5" s="29" t="inlineStr">
        <is>
          <t>IT &amp; SAM</t>
        </is>
      </c>
      <c r="H5" s="29" t="inlineStr">
        <is>
          <t>Prakash Varma</t>
        </is>
      </c>
      <c r="I5" s="28" t="inlineStr">
        <is>
          <t>ADM101</t>
        </is>
      </c>
      <c r="J5" s="30" t="inlineStr">
        <is>
          <t>prakash.varma.admin@kpcl.com</t>
        </is>
      </c>
      <c r="K5" s="29" t="inlineStr">
        <is>
          <t>IT &amp; SAM</t>
        </is>
      </c>
      <c r="L5" s="28" t="inlineStr">
        <is>
          <t>PRJ-SYS-00</t>
        </is>
      </c>
      <c r="M5" s="29" t="inlineStr">
        <is>
          <t>Maintenance</t>
        </is>
      </c>
      <c r="N5" s="29" t="inlineStr">
        <is>
          <t>FlexLM Admin Tool</t>
        </is>
      </c>
      <c r="O5" s="28" t="inlineStr">
        <is>
          <t>Admin License</t>
        </is>
      </c>
      <c r="P5" s="29" t="inlineStr">
        <is>
          <t>2026-10-20 08:00:00</t>
        </is>
      </c>
      <c r="Q5" s="31" t="n">
        <v>4</v>
      </c>
      <c r="R5" s="31" t="n">
        <v>3.8</v>
      </c>
      <c r="S5" s="31" t="n">
        <v>0.2</v>
      </c>
      <c r="T5" s="32" t="n">
        <v>0.45</v>
      </c>
      <c r="U5" s="32" t="n">
        <v>0.7</v>
      </c>
      <c r="V5" s="33" t="n">
        <v>2</v>
      </c>
      <c r="W5" s="33" t="n">
        <v>5</v>
      </c>
      <c r="X5" s="33" t="n">
        <v>2</v>
      </c>
      <c r="Y5" s="28" t="n">
        <v>0</v>
      </c>
      <c r="Z5" s="34" t="n">
        <v>0</v>
      </c>
      <c r="AA5" s="13">
        <f>S5*Z5</f>
        <v/>
      </c>
      <c r="AB5" s="29" t="inlineStr">
        <is>
          <t>System Admin Session</t>
        </is>
      </c>
    </row>
    <row r="6">
      <c r="A6" s="20" t="n">
        <v>5</v>
      </c>
      <c r="B6" s="21" t="inlineStr">
        <is>
          <t>Neha Gupta</t>
        </is>
      </c>
      <c r="C6" s="20" t="inlineStr">
        <is>
          <t>EMP005</t>
        </is>
      </c>
      <c r="D6" s="22" t="inlineStr">
        <is>
          <t>neha.gupta@kpcl.com</t>
        </is>
      </c>
      <c r="E6" s="22" t="inlineStr">
        <is>
          <t>Staff Engineer</t>
        </is>
      </c>
      <c r="F6" s="21" t="inlineStr">
        <is>
          <t>FEA Structural Analyst</t>
        </is>
      </c>
      <c r="G6" s="21" t="inlineStr">
        <is>
          <t>Analysis &amp; CAE</t>
        </is>
      </c>
      <c r="H6" s="21" t="inlineStr">
        <is>
          <t>Suresh Kulkarni</t>
        </is>
      </c>
      <c r="I6" s="20" t="inlineStr">
        <is>
          <t>ADM102</t>
        </is>
      </c>
      <c r="J6" s="22" t="inlineStr">
        <is>
          <t>suresh.kulkarni.admin@kpcl.com</t>
        </is>
      </c>
      <c r="K6" s="21" t="inlineStr">
        <is>
          <t>IT &amp; SAM</t>
        </is>
      </c>
      <c r="L6" s="20" t="inlineStr">
        <is>
          <t>PRJ-KPCL-03</t>
        </is>
      </c>
      <c r="M6" s="21" t="inlineStr">
        <is>
          <t>FEA Stress Analysis</t>
        </is>
      </c>
      <c r="N6" s="21" t="inlineStr">
        <is>
          <t>Altair HyperWorks</t>
        </is>
      </c>
      <c r="O6" s="20" t="inlineStr">
        <is>
          <t>Floating</t>
        </is>
      </c>
      <c r="P6" s="21" t="inlineStr">
        <is>
          <t>2026-10-20 09:30:00</t>
        </is>
      </c>
      <c r="Q6" s="23" t="n">
        <v>8</v>
      </c>
      <c r="R6" s="23" t="n">
        <v>7.8</v>
      </c>
      <c r="S6" s="23" t="n">
        <v>0.2</v>
      </c>
      <c r="T6" s="24" t="n">
        <v>0.88</v>
      </c>
      <c r="U6" s="24" t="n">
        <v>0.22</v>
      </c>
      <c r="V6" s="25" t="n">
        <v>9</v>
      </c>
      <c r="W6" s="25" t="n">
        <v>10</v>
      </c>
      <c r="X6" s="25" t="n">
        <v>8</v>
      </c>
      <c r="Y6" s="20" t="n">
        <v>0</v>
      </c>
      <c r="Z6" s="26" t="n">
        <v>38</v>
      </c>
      <c r="AA6" s="13">
        <f>S6*Z6</f>
        <v/>
      </c>
      <c r="AB6" s="35" t="inlineStr">
        <is>
          <t>Maintain Active Session</t>
        </is>
      </c>
    </row>
    <row r="7">
      <c r="A7" s="28" t="n">
        <v>6</v>
      </c>
      <c r="B7" s="29" t="inlineStr">
        <is>
          <t>Amit Joshi</t>
        </is>
      </c>
      <c r="C7" s="28" t="inlineStr">
        <is>
          <t>EMP006</t>
        </is>
      </c>
      <c r="D7" s="30" t="inlineStr">
        <is>
          <t>worker.amit@kpcl.com</t>
        </is>
      </c>
      <c r="E7" s="30" t="inlineStr">
        <is>
          <t>Project Worker</t>
        </is>
      </c>
      <c r="F7" s="29" t="inlineStr">
        <is>
          <t>CAD Design Worker</t>
        </is>
      </c>
      <c r="G7" s="29" t="inlineStr">
        <is>
          <t>Product R&amp;D</t>
        </is>
      </c>
      <c r="H7" s="29" t="inlineStr">
        <is>
          <t>Suresh Kulkarni</t>
        </is>
      </c>
      <c r="I7" s="28" t="inlineStr">
        <is>
          <t>ADM102</t>
        </is>
      </c>
      <c r="J7" s="30" t="inlineStr">
        <is>
          <t>suresh.kulkarni.admin@kpcl.com</t>
        </is>
      </c>
      <c r="K7" s="29" t="inlineStr">
        <is>
          <t>IT &amp; SAM</t>
        </is>
      </c>
      <c r="L7" s="28" t="inlineStr">
        <is>
          <t>PRJ-KPCL-01</t>
        </is>
      </c>
      <c r="M7" s="29" t="inlineStr">
        <is>
          <t>3D Modeling</t>
        </is>
      </c>
      <c r="N7" s="29" t="inlineStr">
        <is>
          <t>SolidWorks Premium</t>
        </is>
      </c>
      <c r="O7" s="28" t="inlineStr">
        <is>
          <t>Floating</t>
        </is>
      </c>
      <c r="P7" s="29" t="inlineStr">
        <is>
          <t>2026-10-20 10:00:00</t>
        </is>
      </c>
      <c r="Q7" s="31" t="n">
        <v>6.5</v>
      </c>
      <c r="R7" s="31" t="n">
        <v>1.5</v>
      </c>
      <c r="S7" s="31" t="n">
        <v>5</v>
      </c>
      <c r="T7" s="32" t="n">
        <v>0.04</v>
      </c>
      <c r="U7" s="32" t="n">
        <v>0.05</v>
      </c>
      <c r="V7" s="33" t="n">
        <v>19</v>
      </c>
      <c r="W7" s="33" t="n">
        <v>20</v>
      </c>
      <c r="X7" s="33" t="n">
        <v>12</v>
      </c>
      <c r="Y7" s="28" t="n">
        <v>1</v>
      </c>
      <c r="Z7" s="34" t="n">
        <v>15</v>
      </c>
      <c r="AA7" s="13">
        <f>S7*Z7</f>
        <v/>
      </c>
      <c r="AB7" s="27" t="inlineStr">
        <is>
          <t>Harvest Idle Session &amp; Suspend</t>
        </is>
      </c>
    </row>
    <row r="8">
      <c r="A8" s="20" t="n">
        <v>7</v>
      </c>
      <c r="B8" s="21" t="inlineStr">
        <is>
          <t>Pooja Mehta</t>
        </is>
      </c>
      <c r="C8" s="20" t="inlineStr">
        <is>
          <t>EMP007</t>
        </is>
      </c>
      <c r="D8" s="22" t="inlineStr">
        <is>
          <t>pooja.mehta@kpcl.com</t>
        </is>
      </c>
      <c r="E8" s="22" t="inlineStr">
        <is>
          <t>Staff Engineer</t>
        </is>
      </c>
      <c r="F8" s="21" t="inlineStr">
        <is>
          <t>Control Systems Designer</t>
        </is>
      </c>
      <c r="G8" s="21" t="inlineStr">
        <is>
          <t>Electrical &amp; Embedded</t>
        </is>
      </c>
      <c r="H8" s="21" t="inlineStr">
        <is>
          <t>Prakash Varma</t>
        </is>
      </c>
      <c r="I8" s="20" t="inlineStr">
        <is>
          <t>ADM101</t>
        </is>
      </c>
      <c r="J8" s="22" t="inlineStr">
        <is>
          <t>prakash.varma.admin@kpcl.com</t>
        </is>
      </c>
      <c r="K8" s="21" t="inlineStr">
        <is>
          <t>IT &amp; SAM</t>
        </is>
      </c>
      <c r="L8" s="20" t="inlineStr">
        <is>
          <t>PRJ-KPCL-04</t>
        </is>
      </c>
      <c r="M8" s="21" t="inlineStr">
        <is>
          <t>PCB Layout</t>
        </is>
      </c>
      <c r="N8" s="21" t="inlineStr">
        <is>
          <t>Cadence Virtuoso</t>
        </is>
      </c>
      <c r="O8" s="20" t="inlineStr">
        <is>
          <t>Floating</t>
        </is>
      </c>
      <c r="P8" s="21" t="inlineStr">
        <is>
          <t>2026-10-20 08:45:00</t>
        </is>
      </c>
      <c r="Q8" s="23" t="n">
        <v>8</v>
      </c>
      <c r="R8" s="23" t="n">
        <v>6.5</v>
      </c>
      <c r="S8" s="23" t="n">
        <v>1.5</v>
      </c>
      <c r="T8" s="24" t="n">
        <v>0.65</v>
      </c>
      <c r="U8" s="24" t="n">
        <v>0.55</v>
      </c>
      <c r="V8" s="25" t="n">
        <v>7</v>
      </c>
      <c r="W8" s="25" t="n">
        <v>8</v>
      </c>
      <c r="X8" s="25" t="n">
        <v>6</v>
      </c>
      <c r="Y8" s="20" t="n">
        <v>0</v>
      </c>
      <c r="Z8" s="26" t="n">
        <v>50</v>
      </c>
      <c r="AA8" s="13">
        <f>S8*Z8</f>
        <v/>
      </c>
      <c r="AB8" s="35" t="inlineStr">
        <is>
          <t>Maintain Active Session</t>
        </is>
      </c>
    </row>
    <row r="9">
      <c r="A9" s="28" t="n">
        <v>8</v>
      </c>
      <c r="B9" s="29" t="inlineStr">
        <is>
          <t>Rohan Verma</t>
        </is>
      </c>
      <c r="C9" s="28" t="inlineStr">
        <is>
          <t>EMP008</t>
        </is>
      </c>
      <c r="D9" s="30" t="inlineStr">
        <is>
          <t>rohan.contractor@kpcl.com</t>
        </is>
      </c>
      <c r="E9" s="30" t="inlineStr">
        <is>
          <t>Project Worker</t>
        </is>
      </c>
      <c r="F9" s="29" t="inlineStr">
        <is>
          <t>Drafting Specialist</t>
        </is>
      </c>
      <c r="G9" s="29" t="inlineStr">
        <is>
          <t>Tooling &amp; Plant</t>
        </is>
      </c>
      <c r="H9" s="29" t="inlineStr">
        <is>
          <t>Prakash Varma</t>
        </is>
      </c>
      <c r="I9" s="28" t="inlineStr">
        <is>
          <t>ADM101</t>
        </is>
      </c>
      <c r="J9" s="30" t="inlineStr">
        <is>
          <t>prakash.varma.admin@kpcl.com</t>
        </is>
      </c>
      <c r="K9" s="29" t="inlineStr">
        <is>
          <t>IT &amp; SAM</t>
        </is>
      </c>
      <c r="L9" s="28" t="inlineStr">
        <is>
          <t>PRJ-KPCL-02</t>
        </is>
      </c>
      <c r="M9" s="29" t="inlineStr">
        <is>
          <t>Layout Design</t>
        </is>
      </c>
      <c r="N9" s="29" t="inlineStr">
        <is>
          <t>Autodesk Inventor</t>
        </is>
      </c>
      <c r="O9" s="28" t="inlineStr">
        <is>
          <t>Floating</t>
        </is>
      </c>
      <c r="P9" s="29" t="inlineStr">
        <is>
          <t>2026-10-20 09:15:00</t>
        </is>
      </c>
      <c r="Q9" s="31" t="n">
        <v>7</v>
      </c>
      <c r="R9" s="31" t="n">
        <v>2.1</v>
      </c>
      <c r="S9" s="31" t="n">
        <v>4.9</v>
      </c>
      <c r="T9" s="32" t="n">
        <v>0.06</v>
      </c>
      <c r="U9" s="32" t="n">
        <v>0.09</v>
      </c>
      <c r="V9" s="33" t="n">
        <v>24</v>
      </c>
      <c r="W9" s="33" t="n">
        <v>25</v>
      </c>
      <c r="X9" s="33" t="n">
        <v>15</v>
      </c>
      <c r="Y9" s="28" t="n">
        <v>1</v>
      </c>
      <c r="Z9" s="34" t="n">
        <v>12.5</v>
      </c>
      <c r="AA9" s="13">
        <f>S9*Z9</f>
        <v/>
      </c>
      <c r="AB9" s="27" t="inlineStr">
        <is>
          <t>Harvest Idle Session &amp; Suspend</t>
        </is>
      </c>
    </row>
    <row r="10">
      <c r="A10" s="20" t="n">
        <v>9</v>
      </c>
      <c r="B10" s="21" t="inlineStr">
        <is>
          <t>Kavita Rao</t>
        </is>
      </c>
      <c r="C10" s="20" t="inlineStr">
        <is>
          <t>EMP009</t>
        </is>
      </c>
      <c r="D10" s="22" t="inlineStr">
        <is>
          <t>kavita.rao@kpcl.com</t>
        </is>
      </c>
      <c r="E10" s="22" t="inlineStr">
        <is>
          <t>Staff Engineer</t>
        </is>
      </c>
      <c r="F10" s="21" t="inlineStr">
        <is>
          <t>Thermal Engineer</t>
        </is>
      </c>
      <c r="G10" s="21" t="inlineStr">
        <is>
          <t>Analysis &amp; CAE</t>
        </is>
      </c>
      <c r="H10" s="21" t="inlineStr">
        <is>
          <t>Suresh Kulkarni</t>
        </is>
      </c>
      <c r="I10" s="20" t="inlineStr">
        <is>
          <t>ADM102</t>
        </is>
      </c>
      <c r="J10" s="22" t="inlineStr">
        <is>
          <t>suresh.kulkarni.admin@kpcl.com</t>
        </is>
      </c>
      <c r="K10" s="21" t="inlineStr">
        <is>
          <t>IT &amp; SAM</t>
        </is>
      </c>
      <c r="L10" s="20" t="inlineStr">
        <is>
          <t>PRJ-KPCL-03</t>
        </is>
      </c>
      <c r="M10" s="21" t="inlineStr">
        <is>
          <t>Thermal Run</t>
        </is>
      </c>
      <c r="N10" s="21" t="inlineStr">
        <is>
          <t>ANSYS Mechanical</t>
        </is>
      </c>
      <c r="O10" s="20" t="inlineStr">
        <is>
          <t>Floating</t>
        </is>
      </c>
      <c r="P10" s="21" t="inlineStr">
        <is>
          <t>2026-10-20 11:00:00</t>
        </is>
      </c>
      <c r="Q10" s="23" t="n">
        <v>10</v>
      </c>
      <c r="R10" s="23" t="n">
        <v>9.199999999999999</v>
      </c>
      <c r="S10" s="23" t="n">
        <v>0.8</v>
      </c>
      <c r="T10" s="24" t="n">
        <v>0.95</v>
      </c>
      <c r="U10" s="24" t="n">
        <v>0.1</v>
      </c>
      <c r="V10" s="25" t="n">
        <v>15</v>
      </c>
      <c r="W10" s="25" t="n">
        <v>15</v>
      </c>
      <c r="X10" s="25" t="n">
        <v>14</v>
      </c>
      <c r="Y10" s="20" t="n">
        <v>0</v>
      </c>
      <c r="Z10" s="26" t="n">
        <v>45</v>
      </c>
      <c r="AA10" s="13">
        <f>S10*Z10</f>
        <v/>
      </c>
      <c r="AB10" s="35" t="inlineStr">
        <is>
          <t>Maintain Active Session</t>
        </is>
      </c>
    </row>
    <row r="11">
      <c r="A11" s="28" t="n">
        <v>10</v>
      </c>
      <c r="B11" s="29" t="inlineStr">
        <is>
          <t>Manoj Kumar</t>
        </is>
      </c>
      <c r="C11" s="28" t="inlineStr">
        <is>
          <t>EMP010</t>
        </is>
      </c>
      <c r="D11" s="30" t="inlineStr">
        <is>
          <t>manoj.kumar@kpcl.com</t>
        </is>
      </c>
      <c r="E11" s="30" t="inlineStr">
        <is>
          <t>Staff Engineer</t>
        </is>
      </c>
      <c r="F11" s="29" t="inlineStr">
        <is>
          <t>Piping &amp; Skid Engineer</t>
        </is>
      </c>
      <c r="G11" s="29" t="inlineStr">
        <is>
          <t>Product R&amp;D</t>
        </is>
      </c>
      <c r="H11" s="29" t="inlineStr">
        <is>
          <t>Prakash Varma</t>
        </is>
      </c>
      <c r="I11" s="28" t="inlineStr">
        <is>
          <t>ADM101</t>
        </is>
      </c>
      <c r="J11" s="30" t="inlineStr">
        <is>
          <t>prakash.varma.admin@kpcl.com</t>
        </is>
      </c>
      <c r="K11" s="29" t="inlineStr">
        <is>
          <t>IT &amp; SAM</t>
        </is>
      </c>
      <c r="L11" s="28" t="inlineStr">
        <is>
          <t>PRJ-KPCL-01</t>
        </is>
      </c>
      <c r="M11" s="29" t="inlineStr">
        <is>
          <t>Piping Design</t>
        </is>
      </c>
      <c r="N11" s="29" t="inlineStr">
        <is>
          <t>SolidWorks Premium</t>
        </is>
      </c>
      <c r="O11" s="28" t="inlineStr">
        <is>
          <t>Floating</t>
        </is>
      </c>
      <c r="P11" s="29" t="inlineStr">
        <is>
          <t>2026-10-20 08:00:00</t>
        </is>
      </c>
      <c r="Q11" s="31" t="n">
        <v>8.5</v>
      </c>
      <c r="R11" s="31" t="n">
        <v>2.5</v>
      </c>
      <c r="S11" s="31" t="n">
        <v>6</v>
      </c>
      <c r="T11" s="32" t="n">
        <v>0.07000000000000001</v>
      </c>
      <c r="U11" s="32" t="n">
        <v>0.11</v>
      </c>
      <c r="V11" s="33" t="n">
        <v>20</v>
      </c>
      <c r="W11" s="33" t="n">
        <v>20</v>
      </c>
      <c r="X11" s="33" t="n">
        <v>12</v>
      </c>
      <c r="Y11" s="28" t="n">
        <v>1</v>
      </c>
      <c r="Z11" s="34" t="n">
        <v>15</v>
      </c>
      <c r="AA11" s="13">
        <f>S11*Z11</f>
        <v/>
      </c>
      <c r="AB11" s="27" t="inlineStr">
        <is>
          <t>Harvest Idle Session &amp; Suspend</t>
        </is>
      </c>
    </row>
    <row r="12">
      <c r="A12" s="20" t="n">
        <v>11</v>
      </c>
      <c r="B12" s="21" t="inlineStr">
        <is>
          <t>Deepak Nair</t>
        </is>
      </c>
      <c r="C12" s="20" t="inlineStr">
        <is>
          <t>EMP011</t>
        </is>
      </c>
      <c r="D12" s="22" t="inlineStr">
        <is>
          <t>deepak.nair@kpcl.com</t>
        </is>
      </c>
      <c r="E12" s="22" t="inlineStr">
        <is>
          <t>Staff Engineer</t>
        </is>
      </c>
      <c r="F12" s="21" t="inlineStr">
        <is>
          <t>Structural Designer</t>
        </is>
      </c>
      <c r="G12" s="21" t="inlineStr">
        <is>
          <t>Tooling &amp; Plant</t>
        </is>
      </c>
      <c r="H12" s="21" t="inlineStr">
        <is>
          <t>Suresh Kulkarni</t>
        </is>
      </c>
      <c r="I12" s="20" t="inlineStr">
        <is>
          <t>ADM102</t>
        </is>
      </c>
      <c r="J12" s="22" t="inlineStr">
        <is>
          <t>suresh.kulkarni.admin@kpcl.com</t>
        </is>
      </c>
      <c r="K12" s="21" t="inlineStr">
        <is>
          <t>IT &amp; SAM</t>
        </is>
      </c>
      <c r="L12" s="20" t="inlineStr">
        <is>
          <t>PRJ-KPCL-02</t>
        </is>
      </c>
      <c r="M12" s="21" t="inlineStr">
        <is>
          <t>Structural CAD</t>
        </is>
      </c>
      <c r="N12" s="21" t="inlineStr">
        <is>
          <t>Autodesk Inventor</t>
        </is>
      </c>
      <c r="O12" s="20" t="inlineStr">
        <is>
          <t>Floating</t>
        </is>
      </c>
      <c r="P12" s="21" t="inlineStr">
        <is>
          <t>2026-10-21 08:30:00</t>
        </is>
      </c>
      <c r="Q12" s="23" t="n">
        <v>8</v>
      </c>
      <c r="R12" s="23" t="n">
        <v>3</v>
      </c>
      <c r="S12" s="23" t="n">
        <v>5</v>
      </c>
      <c r="T12" s="24" t="n">
        <v>0.09</v>
      </c>
      <c r="U12" s="24" t="n">
        <v>0.14</v>
      </c>
      <c r="V12" s="25" t="n">
        <v>21</v>
      </c>
      <c r="W12" s="25" t="n">
        <v>25</v>
      </c>
      <c r="X12" s="25" t="n">
        <v>15</v>
      </c>
      <c r="Y12" s="20" t="n">
        <v>1</v>
      </c>
      <c r="Z12" s="26" t="n">
        <v>12.5</v>
      </c>
      <c r="AA12" s="13">
        <f>S12*Z12</f>
        <v/>
      </c>
      <c r="AB12" s="27" t="inlineStr">
        <is>
          <t>Harvest Idle Session &amp; Suspend</t>
        </is>
      </c>
    </row>
    <row r="13">
      <c r="A13" s="28" t="n">
        <v>12</v>
      </c>
      <c r="B13" s="29" t="inlineStr">
        <is>
          <t>Sneha Reddy</t>
        </is>
      </c>
      <c r="C13" s="28" t="inlineStr">
        <is>
          <t>EMP012</t>
        </is>
      </c>
      <c r="D13" s="30" t="inlineStr">
        <is>
          <t>sneha.reddy@kpcl.com</t>
        </is>
      </c>
      <c r="E13" s="30" t="inlineStr">
        <is>
          <t>Staff Engineer</t>
        </is>
      </c>
      <c r="F13" s="29" t="inlineStr">
        <is>
          <t>Aerodynamics Engineer</t>
        </is>
      </c>
      <c r="G13" s="29" t="inlineStr">
        <is>
          <t>Analysis &amp; CAE</t>
        </is>
      </c>
      <c r="H13" s="29" t="inlineStr">
        <is>
          <t>Prakash Varma</t>
        </is>
      </c>
      <c r="I13" s="28" t="inlineStr">
        <is>
          <t>ADM101</t>
        </is>
      </c>
      <c r="J13" s="30" t="inlineStr">
        <is>
          <t>prakash.varma.admin@kpcl.com</t>
        </is>
      </c>
      <c r="K13" s="29" t="inlineStr">
        <is>
          <t>IT &amp; SAM</t>
        </is>
      </c>
      <c r="L13" s="28" t="inlineStr">
        <is>
          <t>PRJ-KPCL-01</t>
        </is>
      </c>
      <c r="M13" s="29" t="inlineStr">
        <is>
          <t>CFD Mesh</t>
        </is>
      </c>
      <c r="N13" s="29" t="inlineStr">
        <is>
          <t>ANSYS Mechanical</t>
        </is>
      </c>
      <c r="O13" s="28" t="inlineStr">
        <is>
          <t>Floating</t>
        </is>
      </c>
      <c r="P13" s="29" t="inlineStr">
        <is>
          <t>2026-10-21 09:00:00</t>
        </is>
      </c>
      <c r="Q13" s="31" t="n">
        <v>9.5</v>
      </c>
      <c r="R13" s="31" t="n">
        <v>8.800000000000001</v>
      </c>
      <c r="S13" s="31" t="n">
        <v>0.7</v>
      </c>
      <c r="T13" s="32" t="n">
        <v>0.91</v>
      </c>
      <c r="U13" s="32" t="n">
        <v>0.18</v>
      </c>
      <c r="V13" s="33" t="n">
        <v>14</v>
      </c>
      <c r="W13" s="33" t="n">
        <v>15</v>
      </c>
      <c r="X13" s="33" t="n">
        <v>13</v>
      </c>
      <c r="Y13" s="28" t="n">
        <v>0</v>
      </c>
      <c r="Z13" s="34" t="n">
        <v>45</v>
      </c>
      <c r="AA13" s="13">
        <f>S13*Z13</f>
        <v/>
      </c>
      <c r="AB13" s="35" t="inlineStr">
        <is>
          <t>Maintain Active Session</t>
        </is>
      </c>
    </row>
    <row r="14">
      <c r="A14" s="20" t="n">
        <v>13</v>
      </c>
      <c r="B14" s="21" t="inlineStr">
        <is>
          <t>Rajesh Shinde</t>
        </is>
      </c>
      <c r="C14" s="20" t="inlineStr">
        <is>
          <t>EMP013</t>
        </is>
      </c>
      <c r="D14" s="22" t="inlineStr">
        <is>
          <t>rajesh.contractor@kpcl.com</t>
        </is>
      </c>
      <c r="E14" s="22" t="inlineStr">
        <is>
          <t>Project Worker</t>
        </is>
      </c>
      <c r="F14" s="21" t="inlineStr">
        <is>
          <t>Modeling Worker</t>
        </is>
      </c>
      <c r="G14" s="21" t="inlineStr">
        <is>
          <t>Product R&amp;D</t>
        </is>
      </c>
      <c r="H14" s="21" t="inlineStr">
        <is>
          <t>Suresh Kulkarni</t>
        </is>
      </c>
      <c r="I14" s="20" t="inlineStr">
        <is>
          <t>ADM102</t>
        </is>
      </c>
      <c r="J14" s="22" t="inlineStr">
        <is>
          <t>suresh.kulkarni.admin@kpcl.com</t>
        </is>
      </c>
      <c r="K14" s="21" t="inlineStr">
        <is>
          <t>IT &amp; SAM</t>
        </is>
      </c>
      <c r="L14" s="20" t="inlineStr">
        <is>
          <t>PRJ-KPCL-01</t>
        </is>
      </c>
      <c r="M14" s="21" t="inlineStr">
        <is>
          <t>Component CAD</t>
        </is>
      </c>
      <c r="N14" s="21" t="inlineStr">
        <is>
          <t>SolidWorks Premium</t>
        </is>
      </c>
      <c r="O14" s="20" t="inlineStr">
        <is>
          <t>Floating</t>
        </is>
      </c>
      <c r="P14" s="21" t="inlineStr">
        <is>
          <t>2026-10-21 10:00:00</t>
        </is>
      </c>
      <c r="Q14" s="23" t="n">
        <v>7</v>
      </c>
      <c r="R14" s="23" t="n">
        <v>1.8</v>
      </c>
      <c r="S14" s="23" t="n">
        <v>5.2</v>
      </c>
      <c r="T14" s="24" t="n">
        <v>0.03</v>
      </c>
      <c r="U14" s="24" t="n">
        <v>0.07000000000000001</v>
      </c>
      <c r="V14" s="25" t="n">
        <v>18</v>
      </c>
      <c r="W14" s="25" t="n">
        <v>20</v>
      </c>
      <c r="X14" s="25" t="n">
        <v>12</v>
      </c>
      <c r="Y14" s="20" t="n">
        <v>1</v>
      </c>
      <c r="Z14" s="26" t="n">
        <v>15</v>
      </c>
      <c r="AA14" s="13">
        <f>S14*Z14</f>
        <v/>
      </c>
      <c r="AB14" s="27" t="inlineStr">
        <is>
          <t>Harvest Idle Session &amp; Suspend</t>
        </is>
      </c>
    </row>
    <row r="15">
      <c r="A15" s="28" t="n">
        <v>14</v>
      </c>
      <c r="B15" s="29" t="inlineStr">
        <is>
          <t>Priya Saxena</t>
        </is>
      </c>
      <c r="C15" s="28" t="inlineStr">
        <is>
          <t>ADM103</t>
        </is>
      </c>
      <c r="D15" s="30" t="inlineStr">
        <is>
          <t>priya.saxena.admin@kpcl.com</t>
        </is>
      </c>
      <c r="E15" s="30" t="inlineStr">
        <is>
          <t>System Admin</t>
        </is>
      </c>
      <c r="F15" s="29" t="inlineStr">
        <is>
          <t>R&amp;D Operations Admin</t>
        </is>
      </c>
      <c r="G15" s="29" t="inlineStr">
        <is>
          <t>Engineering Ops</t>
        </is>
      </c>
      <c r="H15" s="29" t="inlineStr">
        <is>
          <t>Prakash Varma</t>
        </is>
      </c>
      <c r="I15" s="28" t="inlineStr">
        <is>
          <t>ADM101</t>
        </is>
      </c>
      <c r="J15" s="30" t="inlineStr">
        <is>
          <t>prakash.varma.admin@kpcl.com</t>
        </is>
      </c>
      <c r="K15" s="29" t="inlineStr">
        <is>
          <t>IT &amp; SAM</t>
        </is>
      </c>
      <c r="L15" s="28" t="inlineStr">
        <is>
          <t>PRJ-SYS-00</t>
        </is>
      </c>
      <c r="M15" s="29" t="inlineStr">
        <is>
          <t>Resource Audit</t>
        </is>
      </c>
      <c r="N15" s="29" t="inlineStr">
        <is>
          <t>OpenLM Management</t>
        </is>
      </c>
      <c r="O15" s="28" t="inlineStr">
        <is>
          <t>Admin License</t>
        </is>
      </c>
      <c r="P15" s="29" t="inlineStr">
        <is>
          <t>2026-10-21 08:30:00</t>
        </is>
      </c>
      <c r="Q15" s="31" t="n">
        <v>5</v>
      </c>
      <c r="R15" s="31" t="n">
        <v>4.5</v>
      </c>
      <c r="S15" s="31" t="n">
        <v>0.5</v>
      </c>
      <c r="T15" s="32" t="n">
        <v>0.5</v>
      </c>
      <c r="U15" s="32" t="n">
        <v>0.65</v>
      </c>
      <c r="V15" s="33" t="n">
        <v>3</v>
      </c>
      <c r="W15" s="33" t="n">
        <v>5</v>
      </c>
      <c r="X15" s="33" t="n">
        <v>3</v>
      </c>
      <c r="Y15" s="28" t="n">
        <v>0</v>
      </c>
      <c r="Z15" s="34" t="n">
        <v>0</v>
      </c>
      <c r="AA15" s="13">
        <f>S15*Z15</f>
        <v/>
      </c>
      <c r="AB15" s="29" t="inlineStr">
        <is>
          <t>System Admin Session</t>
        </is>
      </c>
    </row>
    <row r="16">
      <c r="A16" s="20" t="n">
        <v>15</v>
      </c>
      <c r="B16" s="21" t="inlineStr">
        <is>
          <t>Ganesh Hegde</t>
        </is>
      </c>
      <c r="C16" s="20" t="inlineStr">
        <is>
          <t>EMP015</t>
        </is>
      </c>
      <c r="D16" s="22" t="inlineStr">
        <is>
          <t>ganesh.hegde@kpcl.com</t>
        </is>
      </c>
      <c r="E16" s="22" t="inlineStr">
        <is>
          <t>Staff Engineer</t>
        </is>
      </c>
      <c r="F16" s="21" t="inlineStr">
        <is>
          <t>Vibration Analyst</t>
        </is>
      </c>
      <c r="G16" s="21" t="inlineStr">
        <is>
          <t>Analysis &amp; CAE</t>
        </is>
      </c>
      <c r="H16" s="21" t="inlineStr">
        <is>
          <t>Priya Saxena</t>
        </is>
      </c>
      <c r="I16" s="20" t="inlineStr">
        <is>
          <t>ADM103</t>
        </is>
      </c>
      <c r="J16" s="22" t="inlineStr">
        <is>
          <t>priya.saxena.admin@kpcl.com</t>
        </is>
      </c>
      <c r="K16" s="21" t="inlineStr">
        <is>
          <t>Engineering Ops</t>
        </is>
      </c>
      <c r="L16" s="20" t="inlineStr">
        <is>
          <t>PRJ-KPCL-03</t>
        </is>
      </c>
      <c r="M16" s="21" t="inlineStr">
        <is>
          <t>Vibration Sim</t>
        </is>
      </c>
      <c r="N16" s="21" t="inlineStr">
        <is>
          <t>Altair HyperWorks</t>
        </is>
      </c>
      <c r="O16" s="20" t="inlineStr">
        <is>
          <t>Floating</t>
        </is>
      </c>
      <c r="P16" s="21" t="inlineStr">
        <is>
          <t>2026-10-21 09:30:00</t>
        </is>
      </c>
      <c r="Q16" s="23" t="n">
        <v>8.5</v>
      </c>
      <c r="R16" s="23" t="n">
        <v>8</v>
      </c>
      <c r="S16" s="23" t="n">
        <v>0.5</v>
      </c>
      <c r="T16" s="24" t="n">
        <v>0.85</v>
      </c>
      <c r="U16" s="24" t="n">
        <v>0.2</v>
      </c>
      <c r="V16" s="25" t="n">
        <v>8</v>
      </c>
      <c r="W16" s="25" t="n">
        <v>10</v>
      </c>
      <c r="X16" s="25" t="n">
        <v>8</v>
      </c>
      <c r="Y16" s="20" t="n">
        <v>0</v>
      </c>
      <c r="Z16" s="26" t="n">
        <v>38</v>
      </c>
      <c r="AA16" s="13">
        <f>S16*Z16</f>
        <v/>
      </c>
      <c r="AB16" s="35" t="inlineStr">
        <is>
          <t>Maintain Active Session</t>
        </is>
      </c>
    </row>
    <row r="17">
      <c r="A17" s="28" t="n">
        <v>16</v>
      </c>
      <c r="B17" s="29" t="inlineStr">
        <is>
          <t>Nitin Gadkari</t>
        </is>
      </c>
      <c r="C17" s="28" t="inlineStr">
        <is>
          <t>EMP016</t>
        </is>
      </c>
      <c r="D17" s="30" t="inlineStr">
        <is>
          <t>worker.nitin@kpcl.com</t>
        </is>
      </c>
      <c r="E17" s="30" t="inlineStr">
        <is>
          <t>Project Worker</t>
        </is>
      </c>
      <c r="F17" s="29" t="inlineStr">
        <is>
          <t>Drafting Assistant</t>
        </is>
      </c>
      <c r="G17" s="29" t="inlineStr">
        <is>
          <t>Tooling &amp; Plant</t>
        </is>
      </c>
      <c r="H17" s="29" t="inlineStr">
        <is>
          <t>Priya Saxena</t>
        </is>
      </c>
      <c r="I17" s="28" t="inlineStr">
        <is>
          <t>ADM103</t>
        </is>
      </c>
      <c r="J17" s="30" t="inlineStr">
        <is>
          <t>priya.saxena.admin@kpcl.com</t>
        </is>
      </c>
      <c r="K17" s="29" t="inlineStr">
        <is>
          <t>Engineering Ops</t>
        </is>
      </c>
      <c r="L17" s="28" t="inlineStr">
        <is>
          <t>PRJ-KPCL-02</t>
        </is>
      </c>
      <c r="M17" s="29" t="inlineStr">
        <is>
          <t>Drafting</t>
        </is>
      </c>
      <c r="N17" s="29" t="inlineStr">
        <is>
          <t>Autodesk Inventor</t>
        </is>
      </c>
      <c r="O17" s="28" t="inlineStr">
        <is>
          <t>Floating</t>
        </is>
      </c>
      <c r="P17" s="29" t="inlineStr">
        <is>
          <t>2026-10-21 11:00:00</t>
        </is>
      </c>
      <c r="Q17" s="31" t="n">
        <v>6</v>
      </c>
      <c r="R17" s="31" t="n">
        <v>1.2</v>
      </c>
      <c r="S17" s="31" t="n">
        <v>4.8</v>
      </c>
      <c r="T17" s="32" t="n">
        <v>0.05</v>
      </c>
      <c r="U17" s="32" t="n">
        <v>0.08</v>
      </c>
      <c r="V17" s="33" t="n">
        <v>23</v>
      </c>
      <c r="W17" s="33" t="n">
        <v>25</v>
      </c>
      <c r="X17" s="33" t="n">
        <v>15</v>
      </c>
      <c r="Y17" s="28" t="n">
        <v>1</v>
      </c>
      <c r="Z17" s="34" t="n">
        <v>12.5</v>
      </c>
      <c r="AA17" s="13">
        <f>S17*Z17</f>
        <v/>
      </c>
      <c r="AB17" s="27" t="inlineStr">
        <is>
          <t>Harvest Idle Session &amp; Suspend</t>
        </is>
      </c>
    </row>
    <row r="18">
      <c r="A18" s="20" t="n">
        <v>17</v>
      </c>
      <c r="B18" s="21" t="inlineStr">
        <is>
          <t>Swati Chaudhari</t>
        </is>
      </c>
      <c r="C18" s="20" t="inlineStr">
        <is>
          <t>EMP017</t>
        </is>
      </c>
      <c r="D18" s="22" t="inlineStr">
        <is>
          <t>swati.c@kpcl.com</t>
        </is>
      </c>
      <c r="E18" s="22" t="inlineStr">
        <is>
          <t>Staff Engineer</t>
        </is>
      </c>
      <c r="F18" s="21" t="inlineStr">
        <is>
          <t>Firmware Engineer</t>
        </is>
      </c>
      <c r="G18" s="21" t="inlineStr">
        <is>
          <t>Electrical &amp; Embedded</t>
        </is>
      </c>
      <c r="H18" s="21" t="inlineStr">
        <is>
          <t>Prakash Varma</t>
        </is>
      </c>
      <c r="I18" s="20" t="inlineStr">
        <is>
          <t>ADM101</t>
        </is>
      </c>
      <c r="J18" s="22" t="inlineStr">
        <is>
          <t>prakash.varma.admin@kpcl.com</t>
        </is>
      </c>
      <c r="K18" s="21" t="inlineStr">
        <is>
          <t>IT &amp; SAM</t>
        </is>
      </c>
      <c r="L18" s="20" t="inlineStr">
        <is>
          <t>PRJ-KPCL-04</t>
        </is>
      </c>
      <c r="M18" s="21" t="inlineStr">
        <is>
          <t>Circuit Sim</t>
        </is>
      </c>
      <c r="N18" s="21" t="inlineStr">
        <is>
          <t>Cadence Virtuoso</t>
        </is>
      </c>
      <c r="O18" s="20" t="inlineStr">
        <is>
          <t>Floating</t>
        </is>
      </c>
      <c r="P18" s="21" t="inlineStr">
        <is>
          <t>2026-10-21 08:00:00</t>
        </is>
      </c>
      <c r="Q18" s="23" t="n">
        <v>8</v>
      </c>
      <c r="R18" s="23" t="n">
        <v>7.2</v>
      </c>
      <c r="S18" s="23" t="n">
        <v>0.8</v>
      </c>
      <c r="T18" s="24" t="n">
        <v>0.78</v>
      </c>
      <c r="U18" s="24" t="n">
        <v>0.6</v>
      </c>
      <c r="V18" s="25" t="n">
        <v>6</v>
      </c>
      <c r="W18" s="25" t="n">
        <v>8</v>
      </c>
      <c r="X18" s="25" t="n">
        <v>6</v>
      </c>
      <c r="Y18" s="20" t="n">
        <v>0</v>
      </c>
      <c r="Z18" s="26" t="n">
        <v>50</v>
      </c>
      <c r="AA18" s="13">
        <f>S18*Z18</f>
        <v/>
      </c>
      <c r="AB18" s="35" t="inlineStr">
        <is>
          <t>Maintain Active Session</t>
        </is>
      </c>
    </row>
    <row r="19">
      <c r="A19" s="28" t="n">
        <v>18</v>
      </c>
      <c r="B19" s="29" t="inlineStr">
        <is>
          <t>Alok Mishra</t>
        </is>
      </c>
      <c r="C19" s="28" t="inlineStr">
        <is>
          <t>EMP018</t>
        </is>
      </c>
      <c r="D19" s="30" t="inlineStr">
        <is>
          <t>alok.mishra@kpcl.com</t>
        </is>
      </c>
      <c r="E19" s="30" t="inlineStr">
        <is>
          <t>Staff Engineer</t>
        </is>
      </c>
      <c r="F19" s="29" t="inlineStr">
        <is>
          <t>Compressor CAD Specialist</t>
        </is>
      </c>
      <c r="G19" s="29" t="inlineStr">
        <is>
          <t>Product R&amp;D</t>
        </is>
      </c>
      <c r="H19" s="29" t="inlineStr">
        <is>
          <t>Priya Saxena</t>
        </is>
      </c>
      <c r="I19" s="28" t="inlineStr">
        <is>
          <t>ADM103</t>
        </is>
      </c>
      <c r="J19" s="30" t="inlineStr">
        <is>
          <t>priya.saxena.admin@kpcl.com</t>
        </is>
      </c>
      <c r="K19" s="29" t="inlineStr">
        <is>
          <t>Engineering Ops</t>
        </is>
      </c>
      <c r="L19" s="28" t="inlineStr">
        <is>
          <t>PRJ-KPCL-01</t>
        </is>
      </c>
      <c r="M19" s="29" t="inlineStr">
        <is>
          <t>Rotor Modeling</t>
        </is>
      </c>
      <c r="N19" s="29" t="inlineStr">
        <is>
          <t>SolidWorks Premium</t>
        </is>
      </c>
      <c r="O19" s="28" t="inlineStr">
        <is>
          <t>Floating</t>
        </is>
      </c>
      <c r="P19" s="29" t="inlineStr">
        <is>
          <t>2026-10-21 08:30:00</t>
        </is>
      </c>
      <c r="Q19" s="31" t="n">
        <v>9</v>
      </c>
      <c r="R19" s="31" t="n">
        <v>3.5</v>
      </c>
      <c r="S19" s="31" t="n">
        <v>5.5</v>
      </c>
      <c r="T19" s="32" t="n">
        <v>0.08</v>
      </c>
      <c r="U19" s="32" t="n">
        <v>0.15</v>
      </c>
      <c r="V19" s="33" t="n">
        <v>19</v>
      </c>
      <c r="W19" s="33" t="n">
        <v>20</v>
      </c>
      <c r="X19" s="33" t="n">
        <v>12</v>
      </c>
      <c r="Y19" s="28" t="n">
        <v>1</v>
      </c>
      <c r="Z19" s="34" t="n">
        <v>15</v>
      </c>
      <c r="AA19" s="13">
        <f>S19*Z19</f>
        <v/>
      </c>
      <c r="AB19" s="27" t="inlineStr">
        <is>
          <t>Harvest Idle Session &amp; Suspend</t>
        </is>
      </c>
    </row>
    <row r="20">
      <c r="A20" s="20" t="n">
        <v>19</v>
      </c>
      <c r="B20" s="21" t="inlineStr">
        <is>
          <t>Bhavna Shah</t>
        </is>
      </c>
      <c r="C20" s="20" t="inlineStr">
        <is>
          <t>EMP019</t>
        </is>
      </c>
      <c r="D20" s="22" t="inlineStr">
        <is>
          <t>bhavna.shah@kpcl.com</t>
        </is>
      </c>
      <c r="E20" s="22" t="inlineStr">
        <is>
          <t>Staff Engineer</t>
        </is>
      </c>
      <c r="F20" s="21" t="inlineStr">
        <is>
          <t>Stress Analyst</t>
        </is>
      </c>
      <c r="G20" s="21" t="inlineStr">
        <is>
          <t>Analysis &amp; CAE</t>
        </is>
      </c>
      <c r="H20" s="21" t="inlineStr">
        <is>
          <t>Priya Saxena</t>
        </is>
      </c>
      <c r="I20" s="20" t="inlineStr">
        <is>
          <t>ADM103</t>
        </is>
      </c>
      <c r="J20" s="22" t="inlineStr">
        <is>
          <t>priya.saxena.admin@kpcl.com</t>
        </is>
      </c>
      <c r="K20" s="21" t="inlineStr">
        <is>
          <t>Engineering Ops</t>
        </is>
      </c>
      <c r="L20" s="20" t="inlineStr">
        <is>
          <t>PRJ-KPCL-03</t>
        </is>
      </c>
      <c r="M20" s="21" t="inlineStr">
        <is>
          <t>Nonlinear FEA</t>
        </is>
      </c>
      <c r="N20" s="21" t="inlineStr">
        <is>
          <t>ANSYS Mechanical</t>
        </is>
      </c>
      <c r="O20" s="20" t="inlineStr">
        <is>
          <t>Floating</t>
        </is>
      </c>
      <c r="P20" s="21" t="inlineStr">
        <is>
          <t>2026-10-21 09:15:00</t>
        </is>
      </c>
      <c r="Q20" s="23" t="n">
        <v>11</v>
      </c>
      <c r="R20" s="23" t="n">
        <v>10.2</v>
      </c>
      <c r="S20" s="23" t="n">
        <v>0.8</v>
      </c>
      <c r="T20" s="24" t="n">
        <v>0.9399999999999999</v>
      </c>
      <c r="U20" s="24" t="n">
        <v>0.12</v>
      </c>
      <c r="V20" s="25" t="n">
        <v>15</v>
      </c>
      <c r="W20" s="25" t="n">
        <v>15</v>
      </c>
      <c r="X20" s="25" t="n">
        <v>14</v>
      </c>
      <c r="Y20" s="20" t="n">
        <v>0</v>
      </c>
      <c r="Z20" s="26" t="n">
        <v>45</v>
      </c>
      <c r="AA20" s="13">
        <f>S20*Z20</f>
        <v/>
      </c>
      <c r="AB20" s="35" t="inlineStr">
        <is>
          <t>Maintain Active Session</t>
        </is>
      </c>
    </row>
    <row r="21">
      <c r="A21" s="28" t="n">
        <v>20</v>
      </c>
      <c r="B21" s="29" t="inlineStr">
        <is>
          <t>Chetan Patil</t>
        </is>
      </c>
      <c r="C21" s="28" t="inlineStr">
        <is>
          <t>EMP020</t>
        </is>
      </c>
      <c r="D21" s="30" t="inlineStr">
        <is>
          <t>chetan.contractor@kpcl.com</t>
        </is>
      </c>
      <c r="E21" s="30" t="inlineStr">
        <is>
          <t>Project Worker</t>
        </is>
      </c>
      <c r="F21" s="29" t="inlineStr">
        <is>
          <t>Plant Layout Worker</t>
        </is>
      </c>
      <c r="G21" s="29" t="inlineStr">
        <is>
          <t>Tooling &amp; Plant</t>
        </is>
      </c>
      <c r="H21" s="29" t="inlineStr">
        <is>
          <t>Suresh Kulkarni</t>
        </is>
      </c>
      <c r="I21" s="28" t="inlineStr">
        <is>
          <t>ADM102</t>
        </is>
      </c>
      <c r="J21" s="30" t="inlineStr">
        <is>
          <t>suresh.kulkarni.admin@kpcl.com</t>
        </is>
      </c>
      <c r="K21" s="29" t="inlineStr">
        <is>
          <t>IT &amp; SAM</t>
        </is>
      </c>
      <c r="L21" s="28" t="inlineStr">
        <is>
          <t>PRJ-KPCL-02</t>
        </is>
      </c>
      <c r="M21" s="29" t="inlineStr">
        <is>
          <t>Plant 3D</t>
        </is>
      </c>
      <c r="N21" s="29" t="inlineStr">
        <is>
          <t>Autodesk Inventor</t>
        </is>
      </c>
      <c r="O21" s="28" t="inlineStr">
        <is>
          <t>Floating</t>
        </is>
      </c>
      <c r="P21" s="29" t="inlineStr">
        <is>
          <t>2026-10-21 10:30:00</t>
        </is>
      </c>
      <c r="Q21" s="31" t="n">
        <v>6.5</v>
      </c>
      <c r="R21" s="31" t="n">
        <v>1.8</v>
      </c>
      <c r="S21" s="31" t="n">
        <v>4.7</v>
      </c>
      <c r="T21" s="32" t="n">
        <v>0.04</v>
      </c>
      <c r="U21" s="32" t="n">
        <v>0.06</v>
      </c>
      <c r="V21" s="33" t="n">
        <v>22</v>
      </c>
      <c r="W21" s="33" t="n">
        <v>25</v>
      </c>
      <c r="X21" s="33" t="n">
        <v>15</v>
      </c>
      <c r="Y21" s="28" t="n">
        <v>1</v>
      </c>
      <c r="Z21" s="34" t="n">
        <v>12.5</v>
      </c>
      <c r="AA21" s="13">
        <f>S21*Z21</f>
        <v/>
      </c>
      <c r="AB21" s="27" t="inlineStr">
        <is>
          <t>Harvest Idle Session &amp; Suspend</t>
        </is>
      </c>
    </row>
    <row r="22">
      <c r="A22" s="20" t="n">
        <v>21</v>
      </c>
      <c r="B22" s="21" t="inlineStr">
        <is>
          <t>Dinesh Yadav</t>
        </is>
      </c>
      <c r="C22" s="20" t="inlineStr">
        <is>
          <t>EMP021</t>
        </is>
      </c>
      <c r="D22" s="22" t="inlineStr">
        <is>
          <t>dinesh.yadav@kpcl.com</t>
        </is>
      </c>
      <c r="E22" s="22" t="inlineStr">
        <is>
          <t>Staff Engineer</t>
        </is>
      </c>
      <c r="F22" s="21" t="inlineStr">
        <is>
          <t>Casing Designer</t>
        </is>
      </c>
      <c r="G22" s="21" t="inlineStr">
        <is>
          <t>Product R&amp;D</t>
        </is>
      </c>
      <c r="H22" s="21" t="inlineStr">
        <is>
          <t>Prakash Varma</t>
        </is>
      </c>
      <c r="I22" s="20" t="inlineStr">
        <is>
          <t>ADM101</t>
        </is>
      </c>
      <c r="J22" s="22" t="inlineStr">
        <is>
          <t>prakash.varma.admin@kpcl.com</t>
        </is>
      </c>
      <c r="K22" s="21" t="inlineStr">
        <is>
          <t>IT &amp; SAM</t>
        </is>
      </c>
      <c r="L22" s="20" t="inlineStr">
        <is>
          <t>PRJ-KPCL-01</t>
        </is>
      </c>
      <c r="M22" s="21" t="inlineStr">
        <is>
          <t>Casing Design</t>
        </is>
      </c>
      <c r="N22" s="21" t="inlineStr">
        <is>
          <t>SolidWorks Premium</t>
        </is>
      </c>
      <c r="O22" s="20" t="inlineStr">
        <is>
          <t>Floating</t>
        </is>
      </c>
      <c r="P22" s="21" t="inlineStr">
        <is>
          <t>2026-10-22 08:30:00</t>
        </is>
      </c>
      <c r="Q22" s="23" t="n">
        <v>8.5</v>
      </c>
      <c r="R22" s="23" t="n">
        <v>2.8</v>
      </c>
      <c r="S22" s="23" t="n">
        <v>5.7</v>
      </c>
      <c r="T22" s="24" t="n">
        <v>0.07000000000000001</v>
      </c>
      <c r="U22" s="24" t="n">
        <v>0.1</v>
      </c>
      <c r="V22" s="25" t="n">
        <v>18</v>
      </c>
      <c r="W22" s="25" t="n">
        <v>20</v>
      </c>
      <c r="X22" s="25" t="n">
        <v>12</v>
      </c>
      <c r="Y22" s="20" t="n">
        <v>1</v>
      </c>
      <c r="Z22" s="26" t="n">
        <v>15</v>
      </c>
      <c r="AA22" s="13">
        <f>S22*Z22</f>
        <v/>
      </c>
      <c r="AB22" s="27" t="inlineStr">
        <is>
          <t>Harvest Idle Session &amp; Suspend</t>
        </is>
      </c>
    </row>
    <row r="23">
      <c r="A23" s="28" t="n">
        <v>22</v>
      </c>
      <c r="B23" s="29" t="inlineStr">
        <is>
          <t>Esha Deshpande</t>
        </is>
      </c>
      <c r="C23" s="28" t="inlineStr">
        <is>
          <t>EMP022</t>
        </is>
      </c>
      <c r="D23" s="30" t="inlineStr">
        <is>
          <t>esha.d@kpcl.com</t>
        </is>
      </c>
      <c r="E23" s="30" t="inlineStr">
        <is>
          <t>Staff Engineer</t>
        </is>
      </c>
      <c r="F23" s="29" t="inlineStr">
        <is>
          <t>CFD Specialist</t>
        </is>
      </c>
      <c r="G23" s="29" t="inlineStr">
        <is>
          <t>Analysis &amp; CAE</t>
        </is>
      </c>
      <c r="H23" s="29" t="inlineStr">
        <is>
          <t>Suresh Kulkarni</t>
        </is>
      </c>
      <c r="I23" s="28" t="inlineStr">
        <is>
          <t>ADM102</t>
        </is>
      </c>
      <c r="J23" s="30" t="inlineStr">
        <is>
          <t>suresh.kulkarni.admin@kpcl.com</t>
        </is>
      </c>
      <c r="K23" s="29" t="inlineStr">
        <is>
          <t>IT &amp; SAM</t>
        </is>
      </c>
      <c r="L23" s="28" t="inlineStr">
        <is>
          <t>PRJ-KPCL-01</t>
        </is>
      </c>
      <c r="M23" s="29" t="inlineStr">
        <is>
          <t>Fluid Flow</t>
        </is>
      </c>
      <c r="N23" s="29" t="inlineStr">
        <is>
          <t>ANSYS Mechanical</t>
        </is>
      </c>
      <c r="O23" s="28" t="inlineStr">
        <is>
          <t>Floating</t>
        </is>
      </c>
      <c r="P23" s="29" t="inlineStr">
        <is>
          <t>2026-10-22 09:00:00</t>
        </is>
      </c>
      <c r="Q23" s="31" t="n">
        <v>9</v>
      </c>
      <c r="R23" s="31" t="n">
        <v>8.4</v>
      </c>
      <c r="S23" s="31" t="n">
        <v>0.6</v>
      </c>
      <c r="T23" s="32" t="n">
        <v>0.89</v>
      </c>
      <c r="U23" s="32" t="n">
        <v>0.14</v>
      </c>
      <c r="V23" s="33" t="n">
        <v>14</v>
      </c>
      <c r="W23" s="33" t="n">
        <v>15</v>
      </c>
      <c r="X23" s="33" t="n">
        <v>13</v>
      </c>
      <c r="Y23" s="28" t="n">
        <v>0</v>
      </c>
      <c r="Z23" s="34" t="n">
        <v>45</v>
      </c>
      <c r="AA23" s="13">
        <f>S23*Z23</f>
        <v/>
      </c>
      <c r="AB23" s="35" t="inlineStr">
        <is>
          <t>Maintain Active Session</t>
        </is>
      </c>
    </row>
    <row r="24">
      <c r="A24" s="20" t="n">
        <v>23</v>
      </c>
      <c r="B24" s="21" t="inlineStr">
        <is>
          <t>Farhan Khan</t>
        </is>
      </c>
      <c r="C24" s="20" t="inlineStr">
        <is>
          <t>EMP023</t>
        </is>
      </c>
      <c r="D24" s="22" t="inlineStr">
        <is>
          <t>farhan.contractor@kpcl.com</t>
        </is>
      </c>
      <c r="E24" s="22" t="inlineStr">
        <is>
          <t>Project Worker</t>
        </is>
      </c>
      <c r="F24" s="21" t="inlineStr">
        <is>
          <t>CAD Assembly Worker</t>
        </is>
      </c>
      <c r="G24" s="21" t="inlineStr">
        <is>
          <t>Product R&amp;D</t>
        </is>
      </c>
      <c r="H24" s="21" t="inlineStr">
        <is>
          <t>Priya Saxena</t>
        </is>
      </c>
      <c r="I24" s="20" t="inlineStr">
        <is>
          <t>ADM103</t>
        </is>
      </c>
      <c r="J24" s="22" t="inlineStr">
        <is>
          <t>priya.saxena.admin@kpcl.com</t>
        </is>
      </c>
      <c r="K24" s="21" t="inlineStr">
        <is>
          <t>Engineering Ops</t>
        </is>
      </c>
      <c r="L24" s="20" t="inlineStr">
        <is>
          <t>PRJ-KPCL-01</t>
        </is>
      </c>
      <c r="M24" s="21" t="inlineStr">
        <is>
          <t>Sub-Assembly</t>
        </is>
      </c>
      <c r="N24" s="21" t="inlineStr">
        <is>
          <t>SolidWorks Premium</t>
        </is>
      </c>
      <c r="O24" s="20" t="inlineStr">
        <is>
          <t>Floating</t>
        </is>
      </c>
      <c r="P24" s="21" t="inlineStr">
        <is>
          <t>2026-10-22 09:30:00</t>
        </is>
      </c>
      <c r="Q24" s="23" t="n">
        <v>7.5</v>
      </c>
      <c r="R24" s="23" t="n">
        <v>2</v>
      </c>
      <c r="S24" s="23" t="n">
        <v>5.5</v>
      </c>
      <c r="T24" s="24" t="n">
        <v>0.05</v>
      </c>
      <c r="U24" s="24" t="n">
        <v>0.08</v>
      </c>
      <c r="V24" s="25" t="n">
        <v>19</v>
      </c>
      <c r="W24" s="25" t="n">
        <v>20</v>
      </c>
      <c r="X24" s="25" t="n">
        <v>12</v>
      </c>
      <c r="Y24" s="20" t="n">
        <v>1</v>
      </c>
      <c r="Z24" s="26" t="n">
        <v>15</v>
      </c>
      <c r="AA24" s="13">
        <f>S24*Z24</f>
        <v/>
      </c>
      <c r="AB24" s="27" t="inlineStr">
        <is>
          <t>Harvest Idle Session &amp; Suspend</t>
        </is>
      </c>
    </row>
    <row r="25">
      <c r="A25" s="28" t="n">
        <v>24</v>
      </c>
      <c r="B25" s="29" t="inlineStr">
        <is>
          <t>Gayatri Sen</t>
        </is>
      </c>
      <c r="C25" s="28" t="inlineStr">
        <is>
          <t>EMP024</t>
        </is>
      </c>
      <c r="D25" s="30" t="inlineStr">
        <is>
          <t>gayatri.sen@kpcl.com</t>
        </is>
      </c>
      <c r="E25" s="30" t="inlineStr">
        <is>
          <t>Staff Engineer</t>
        </is>
      </c>
      <c r="F25" s="29" t="inlineStr">
        <is>
          <t>Optimizer</t>
        </is>
      </c>
      <c r="G25" s="29" t="inlineStr">
        <is>
          <t>Analysis &amp; CAE</t>
        </is>
      </c>
      <c r="H25" s="29" t="inlineStr">
        <is>
          <t>Priya Saxena</t>
        </is>
      </c>
      <c r="I25" s="28" t="inlineStr">
        <is>
          <t>ADM103</t>
        </is>
      </c>
      <c r="J25" s="30" t="inlineStr">
        <is>
          <t>priya.saxena.admin@kpcl.com</t>
        </is>
      </c>
      <c r="K25" s="29" t="inlineStr">
        <is>
          <t>Engineering Ops</t>
        </is>
      </c>
      <c r="L25" s="28" t="inlineStr">
        <is>
          <t>PRJ-KPCL-03</t>
        </is>
      </c>
      <c r="M25" s="29" t="inlineStr">
        <is>
          <t>Topology Opt</t>
        </is>
      </c>
      <c r="N25" s="29" t="inlineStr">
        <is>
          <t>Altair HyperWorks</t>
        </is>
      </c>
      <c r="O25" s="28" t="inlineStr">
        <is>
          <t>Floating</t>
        </is>
      </c>
      <c r="P25" s="29" t="inlineStr">
        <is>
          <t>2026-10-22 10:00:00</t>
        </is>
      </c>
      <c r="Q25" s="31" t="n">
        <v>8</v>
      </c>
      <c r="R25" s="31" t="n">
        <v>7.5</v>
      </c>
      <c r="S25" s="31" t="n">
        <v>0.5</v>
      </c>
      <c r="T25" s="32" t="n">
        <v>0.86</v>
      </c>
      <c r="U25" s="32" t="n">
        <v>0.25</v>
      </c>
      <c r="V25" s="33" t="n">
        <v>9</v>
      </c>
      <c r="W25" s="33" t="n">
        <v>10</v>
      </c>
      <c r="X25" s="33" t="n">
        <v>8</v>
      </c>
      <c r="Y25" s="28" t="n">
        <v>0</v>
      </c>
      <c r="Z25" s="34" t="n">
        <v>38</v>
      </c>
      <c r="AA25" s="13">
        <f>S25*Z25</f>
        <v/>
      </c>
      <c r="AB25" s="35" t="inlineStr">
        <is>
          <t>Maintain Active Session</t>
        </is>
      </c>
    </row>
    <row r="26">
      <c r="A26" s="20" t="n">
        <v>25</v>
      </c>
      <c r="B26" s="21" t="inlineStr">
        <is>
          <t>Harish Verma</t>
        </is>
      </c>
      <c r="C26" s="20" t="inlineStr">
        <is>
          <t>EMP025</t>
        </is>
      </c>
      <c r="D26" s="22" t="inlineStr">
        <is>
          <t>harish.verma@kpcl.com</t>
        </is>
      </c>
      <c r="E26" s="22" t="inlineStr">
        <is>
          <t>Staff Engineer</t>
        </is>
      </c>
      <c r="F26" s="21" t="inlineStr">
        <is>
          <t>Tooling Engineer</t>
        </is>
      </c>
      <c r="G26" s="21" t="inlineStr">
        <is>
          <t>Tooling &amp; Plant</t>
        </is>
      </c>
      <c r="H26" s="21" t="inlineStr">
        <is>
          <t>Prakash Varma</t>
        </is>
      </c>
      <c r="I26" s="20" t="inlineStr">
        <is>
          <t>ADM101</t>
        </is>
      </c>
      <c r="J26" s="22" t="inlineStr">
        <is>
          <t>prakash.varma.admin@kpcl.com</t>
        </is>
      </c>
      <c r="K26" s="21" t="inlineStr">
        <is>
          <t>IT &amp; SAM</t>
        </is>
      </c>
      <c r="L26" s="20" t="inlineStr">
        <is>
          <t>PRJ-KPCL-02</t>
        </is>
      </c>
      <c r="M26" s="21" t="inlineStr">
        <is>
          <t>Die Design</t>
        </is>
      </c>
      <c r="N26" s="21" t="inlineStr">
        <is>
          <t>Autodesk Inventor</t>
        </is>
      </c>
      <c r="O26" s="20" t="inlineStr">
        <is>
          <t>Floating</t>
        </is>
      </c>
      <c r="P26" s="21" t="inlineStr">
        <is>
          <t>2026-10-22 08:00:00</t>
        </is>
      </c>
      <c r="Q26" s="23" t="n">
        <v>8.5</v>
      </c>
      <c r="R26" s="23" t="n">
        <v>3.1</v>
      </c>
      <c r="S26" s="23" t="n">
        <v>5.4</v>
      </c>
      <c r="T26" s="24" t="n">
        <v>0.08</v>
      </c>
      <c r="U26" s="24" t="n">
        <v>0.12</v>
      </c>
      <c r="V26" s="25" t="n">
        <v>20</v>
      </c>
      <c r="W26" s="25" t="n">
        <v>25</v>
      </c>
      <c r="X26" s="25" t="n">
        <v>15</v>
      </c>
      <c r="Y26" s="20" t="n">
        <v>1</v>
      </c>
      <c r="Z26" s="26" t="n">
        <v>12.5</v>
      </c>
      <c r="AA26" s="13">
        <f>S26*Z26</f>
        <v/>
      </c>
      <c r="AB26" s="27" t="inlineStr">
        <is>
          <t>Harvest Idle Session &amp; Suspend</t>
        </is>
      </c>
    </row>
    <row r="27">
      <c r="A27" s="28" t="n">
        <v>26</v>
      </c>
      <c r="B27" s="29" t="inlineStr">
        <is>
          <t>Isha Agarwal</t>
        </is>
      </c>
      <c r="C27" s="28" t="inlineStr">
        <is>
          <t>EMP026</t>
        </is>
      </c>
      <c r="D27" s="30" t="inlineStr">
        <is>
          <t>isha.agarwal@kpcl.com</t>
        </is>
      </c>
      <c r="E27" s="30" t="inlineStr">
        <is>
          <t>Staff Engineer</t>
        </is>
      </c>
      <c r="F27" s="29" t="inlineStr">
        <is>
          <t>ASIC Layout Designer</t>
        </is>
      </c>
      <c r="G27" s="29" t="inlineStr">
        <is>
          <t>Electrical &amp; Embedded</t>
        </is>
      </c>
      <c r="H27" s="29" t="inlineStr">
        <is>
          <t>Suresh Kulkarni</t>
        </is>
      </c>
      <c r="I27" s="28" t="inlineStr">
        <is>
          <t>ADM102</t>
        </is>
      </c>
      <c r="J27" s="30" t="inlineStr">
        <is>
          <t>suresh.kulkarni.admin@kpcl.com</t>
        </is>
      </c>
      <c r="K27" s="29" t="inlineStr">
        <is>
          <t>IT &amp; SAM</t>
        </is>
      </c>
      <c r="L27" s="28" t="inlineStr">
        <is>
          <t>PRJ-KPCL-04</t>
        </is>
      </c>
      <c r="M27" s="29" t="inlineStr">
        <is>
          <t>IC Layout</t>
        </is>
      </c>
      <c r="N27" s="29" t="inlineStr">
        <is>
          <t>Cadence Virtuoso</t>
        </is>
      </c>
      <c r="O27" s="28" t="inlineStr">
        <is>
          <t>Floating</t>
        </is>
      </c>
      <c r="P27" s="29" t="inlineStr">
        <is>
          <t>2026-10-22 08:30:00</t>
        </is>
      </c>
      <c r="Q27" s="31" t="n">
        <v>8</v>
      </c>
      <c r="R27" s="31" t="n">
        <v>7</v>
      </c>
      <c r="S27" s="31" t="n">
        <v>1</v>
      </c>
      <c r="T27" s="32" t="n">
        <v>0.72</v>
      </c>
      <c r="U27" s="32" t="n">
        <v>0.58</v>
      </c>
      <c r="V27" s="33" t="n">
        <v>7</v>
      </c>
      <c r="W27" s="33" t="n">
        <v>8</v>
      </c>
      <c r="X27" s="33" t="n">
        <v>6</v>
      </c>
      <c r="Y27" s="28" t="n">
        <v>0</v>
      </c>
      <c r="Z27" s="34" t="n">
        <v>50</v>
      </c>
      <c r="AA27" s="13">
        <f>S27*Z27</f>
        <v/>
      </c>
      <c r="AB27" s="35" t="inlineStr">
        <is>
          <t>Maintain Active Session</t>
        </is>
      </c>
    </row>
    <row r="28">
      <c r="A28" s="20" t="n">
        <v>27</v>
      </c>
      <c r="B28" s="21" t="inlineStr">
        <is>
          <t>Jiten Prasad</t>
        </is>
      </c>
      <c r="C28" s="20" t="inlineStr">
        <is>
          <t>EMP027</t>
        </is>
      </c>
      <c r="D28" s="22" t="inlineStr">
        <is>
          <t>worker.jiten@kpcl.com</t>
        </is>
      </c>
      <c r="E28" s="22" t="inlineStr">
        <is>
          <t>Project Worker</t>
        </is>
      </c>
      <c r="F28" s="21" t="inlineStr">
        <is>
          <t>Detailing Drafter</t>
        </is>
      </c>
      <c r="G28" s="21" t="inlineStr">
        <is>
          <t>Tooling &amp; Plant</t>
        </is>
      </c>
      <c r="H28" s="21" t="inlineStr">
        <is>
          <t>Priya Saxena</t>
        </is>
      </c>
      <c r="I28" s="20" t="inlineStr">
        <is>
          <t>ADM103</t>
        </is>
      </c>
      <c r="J28" s="22" t="inlineStr">
        <is>
          <t>priya.saxena.admin@kpcl.com</t>
        </is>
      </c>
      <c r="K28" s="21" t="inlineStr">
        <is>
          <t>Engineering Ops</t>
        </is>
      </c>
      <c r="L28" s="20" t="inlineStr">
        <is>
          <t>PRJ-KPCL-02</t>
        </is>
      </c>
      <c r="M28" s="21" t="inlineStr">
        <is>
          <t>BOM Creation</t>
        </is>
      </c>
      <c r="N28" s="21" t="inlineStr">
        <is>
          <t>Autodesk Inventor</t>
        </is>
      </c>
      <c r="O28" s="20" t="inlineStr">
        <is>
          <t>Floating</t>
        </is>
      </c>
      <c r="P28" s="21" t="inlineStr">
        <is>
          <t>2026-10-22 09:15:00</t>
        </is>
      </c>
      <c r="Q28" s="23" t="n">
        <v>7</v>
      </c>
      <c r="R28" s="23" t="n">
        <v>1.5</v>
      </c>
      <c r="S28" s="23" t="n">
        <v>5.5</v>
      </c>
      <c r="T28" s="24" t="n">
        <v>0.04</v>
      </c>
      <c r="U28" s="24" t="n">
        <v>0.06</v>
      </c>
      <c r="V28" s="25" t="n">
        <v>21</v>
      </c>
      <c r="W28" s="25" t="n">
        <v>25</v>
      </c>
      <c r="X28" s="25" t="n">
        <v>15</v>
      </c>
      <c r="Y28" s="20" t="n">
        <v>1</v>
      </c>
      <c r="Z28" s="26" t="n">
        <v>12.5</v>
      </c>
      <c r="AA28" s="13">
        <f>S28*Z28</f>
        <v/>
      </c>
      <c r="AB28" s="27" t="inlineStr">
        <is>
          <t>Harvest Idle Session &amp; Suspend</t>
        </is>
      </c>
    </row>
    <row r="29">
      <c r="A29" s="28" t="n">
        <v>28</v>
      </c>
      <c r="B29" s="29" t="inlineStr">
        <is>
          <t>Kiran Bedi</t>
        </is>
      </c>
      <c r="C29" s="28" t="inlineStr">
        <is>
          <t>EMP028</t>
        </is>
      </c>
      <c r="D29" s="30" t="inlineStr">
        <is>
          <t>kiran.bedi@kpcl.com</t>
        </is>
      </c>
      <c r="E29" s="30" t="inlineStr">
        <is>
          <t>Staff Engineer</t>
        </is>
      </c>
      <c r="F29" s="29" t="inlineStr">
        <is>
          <t>Acoustics Specialist</t>
        </is>
      </c>
      <c r="G29" s="29" t="inlineStr">
        <is>
          <t>Analysis &amp; CAE</t>
        </is>
      </c>
      <c r="H29" s="29" t="inlineStr">
        <is>
          <t>Prakash Varma</t>
        </is>
      </c>
      <c r="I29" s="28" t="inlineStr">
        <is>
          <t>ADM101</t>
        </is>
      </c>
      <c r="J29" s="30" t="inlineStr">
        <is>
          <t>prakash.varma.admin@kpcl.com</t>
        </is>
      </c>
      <c r="K29" s="29" t="inlineStr">
        <is>
          <t>IT &amp; SAM</t>
        </is>
      </c>
      <c r="L29" s="28" t="inlineStr">
        <is>
          <t>PRJ-KPCL-03</t>
        </is>
      </c>
      <c r="M29" s="29" t="inlineStr">
        <is>
          <t>NVH Sim</t>
        </is>
      </c>
      <c r="N29" s="29" t="inlineStr">
        <is>
          <t>ANSYS Mechanical</t>
        </is>
      </c>
      <c r="O29" s="28" t="inlineStr">
        <is>
          <t>Floating</t>
        </is>
      </c>
      <c r="P29" s="29" t="inlineStr">
        <is>
          <t>2026-10-22 09:45:00</t>
        </is>
      </c>
      <c r="Q29" s="31" t="n">
        <v>9.5</v>
      </c>
      <c r="R29" s="31" t="n">
        <v>8.800000000000001</v>
      </c>
      <c r="S29" s="31" t="n">
        <v>0.7</v>
      </c>
      <c r="T29" s="32" t="n">
        <v>0.93</v>
      </c>
      <c r="U29" s="32" t="n">
        <v>0.16</v>
      </c>
      <c r="V29" s="33" t="n">
        <v>15</v>
      </c>
      <c r="W29" s="33" t="n">
        <v>15</v>
      </c>
      <c r="X29" s="33" t="n">
        <v>14</v>
      </c>
      <c r="Y29" s="28" t="n">
        <v>0</v>
      </c>
      <c r="Z29" s="34" t="n">
        <v>45</v>
      </c>
      <c r="AA29" s="13">
        <f>S29*Z29</f>
        <v/>
      </c>
      <c r="AB29" s="35" t="inlineStr">
        <is>
          <t>Maintain Active Session</t>
        </is>
      </c>
    </row>
    <row r="30">
      <c r="A30" s="20" t="n">
        <v>29</v>
      </c>
      <c r="B30" s="21" t="inlineStr">
        <is>
          <t>Lalit Kapoor</t>
        </is>
      </c>
      <c r="C30" s="20" t="inlineStr">
        <is>
          <t>EMP029</t>
        </is>
      </c>
      <c r="D30" s="22" t="inlineStr">
        <is>
          <t>lalit.kapoor@kpcl.com</t>
        </is>
      </c>
      <c r="E30" s="22" t="inlineStr">
        <is>
          <t>Staff Engineer</t>
        </is>
      </c>
      <c r="F30" s="21" t="inlineStr">
        <is>
          <t>Valves &amp; Piping Lead</t>
        </is>
      </c>
      <c r="G30" s="21" t="inlineStr">
        <is>
          <t>Product R&amp;D</t>
        </is>
      </c>
      <c r="H30" s="21" t="inlineStr">
        <is>
          <t>Suresh Kulkarni</t>
        </is>
      </c>
      <c r="I30" s="20" t="inlineStr">
        <is>
          <t>ADM102</t>
        </is>
      </c>
      <c r="J30" s="22" t="inlineStr">
        <is>
          <t>suresh.kulkarni.admin@kpcl.com</t>
        </is>
      </c>
      <c r="K30" s="21" t="inlineStr">
        <is>
          <t>IT &amp; SAM</t>
        </is>
      </c>
      <c r="L30" s="20" t="inlineStr">
        <is>
          <t>PRJ-KPCL-01</t>
        </is>
      </c>
      <c r="M30" s="21" t="inlineStr">
        <is>
          <t>Valve CAD</t>
        </is>
      </c>
      <c r="N30" s="21" t="inlineStr">
        <is>
          <t>SolidWorks Premium</t>
        </is>
      </c>
      <c r="O30" s="20" t="inlineStr">
        <is>
          <t>Floating</t>
        </is>
      </c>
      <c r="P30" s="21" t="inlineStr">
        <is>
          <t>2026-10-22 10:15:00</t>
        </is>
      </c>
      <c r="Q30" s="23" t="n">
        <v>8</v>
      </c>
      <c r="R30" s="23" t="n">
        <v>2.2</v>
      </c>
      <c r="S30" s="23" t="n">
        <v>5.8</v>
      </c>
      <c r="T30" s="24" t="n">
        <v>0.06</v>
      </c>
      <c r="U30" s="24" t="n">
        <v>0.09</v>
      </c>
      <c r="V30" s="25" t="n">
        <v>18</v>
      </c>
      <c r="W30" s="25" t="n">
        <v>20</v>
      </c>
      <c r="X30" s="25" t="n">
        <v>12</v>
      </c>
      <c r="Y30" s="20" t="n">
        <v>1</v>
      </c>
      <c r="Z30" s="26" t="n">
        <v>15</v>
      </c>
      <c r="AA30" s="13">
        <f>S30*Z30</f>
        <v/>
      </c>
      <c r="AB30" s="27" t="inlineStr">
        <is>
          <t>Harvest Idle Session &amp; Suspend</t>
        </is>
      </c>
    </row>
    <row r="31">
      <c r="A31" s="28" t="n">
        <v>30</v>
      </c>
      <c r="B31" s="29" t="inlineStr">
        <is>
          <t>Monika Roy</t>
        </is>
      </c>
      <c r="C31" s="28" t="inlineStr">
        <is>
          <t>EMP030</t>
        </is>
      </c>
      <c r="D31" s="30" t="inlineStr">
        <is>
          <t>monika.contractor@kpcl.com</t>
        </is>
      </c>
      <c r="E31" s="30" t="inlineStr">
        <is>
          <t>Project Worker</t>
        </is>
      </c>
      <c r="F31" s="29" t="inlineStr">
        <is>
          <t>CAD Project Worker</t>
        </is>
      </c>
      <c r="G31" s="29" t="inlineStr">
        <is>
          <t>Product R&amp;D</t>
        </is>
      </c>
      <c r="H31" s="29" t="inlineStr">
        <is>
          <t>Priya Saxena</t>
        </is>
      </c>
      <c r="I31" s="28" t="inlineStr">
        <is>
          <t>ADM103</t>
        </is>
      </c>
      <c r="J31" s="30" t="inlineStr">
        <is>
          <t>priya.saxena.admin@kpcl.com</t>
        </is>
      </c>
      <c r="K31" s="29" t="inlineStr">
        <is>
          <t>Engineering Ops</t>
        </is>
      </c>
      <c r="L31" s="28" t="inlineStr">
        <is>
          <t>PRJ-KPCL-01</t>
        </is>
      </c>
      <c r="M31" s="29" t="inlineStr">
        <is>
          <t>Packaging CAD</t>
        </is>
      </c>
      <c r="N31" s="29" t="inlineStr">
        <is>
          <t>SolidWorks Premium</t>
        </is>
      </c>
      <c r="O31" s="28" t="inlineStr">
        <is>
          <t>Floating</t>
        </is>
      </c>
      <c r="P31" s="29" t="inlineStr">
        <is>
          <t>2026-10-22 11:00:00</t>
        </is>
      </c>
      <c r="Q31" s="31" t="n">
        <v>6.5</v>
      </c>
      <c r="R31" s="31" t="n">
        <v>1.3</v>
      </c>
      <c r="S31" s="31" t="n">
        <v>5.2</v>
      </c>
      <c r="T31" s="32" t="n">
        <v>0.03</v>
      </c>
      <c r="U31" s="32" t="n">
        <v>0.05</v>
      </c>
      <c r="V31" s="33" t="n">
        <v>19</v>
      </c>
      <c r="W31" s="33" t="n">
        <v>20</v>
      </c>
      <c r="X31" s="33" t="n">
        <v>12</v>
      </c>
      <c r="Y31" s="28" t="n">
        <v>1</v>
      </c>
      <c r="Z31" s="34" t="n">
        <v>15</v>
      </c>
      <c r="AA31" s="13">
        <f>S31*Z31</f>
        <v/>
      </c>
      <c r="AB31" s="27" t="inlineStr">
        <is>
          <t>Harvest Idle Session &amp; Suspend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4" customWidth="1" min="3" max="3"/>
    <col width="18" customWidth="1" min="4" max="4"/>
    <col width="32" customWidth="1" min="5" max="5"/>
    <col width="25" customWidth="1" min="6" max="6"/>
    <col width="23" customWidth="1" min="7" max="7"/>
    <col width="21" customWidth="1" min="8" max="8"/>
    <col width="34" customWidth="1" min="9" max="9"/>
    <col width="24" customWidth="1" min="10" max="10"/>
    <col width="20" customWidth="1" min="11" max="11"/>
    <col width="25" customWidth="1" min="12" max="12"/>
  </cols>
  <sheetData>
    <row r="1">
      <c r="A1" s="9" t="inlineStr">
        <is>
          <t>User_ID</t>
        </is>
      </c>
      <c r="B1" s="9" t="inlineStr">
        <is>
          <t>User_Name</t>
        </is>
      </c>
      <c r="C1" s="9" t="inlineStr">
        <is>
          <t>User_Email</t>
        </is>
      </c>
      <c r="D1" s="9" t="inlineStr">
        <is>
          <t>Role_Category</t>
        </is>
      </c>
      <c r="E1" s="9" t="inlineStr">
        <is>
          <t>Role_Title</t>
        </is>
      </c>
      <c r="F1" s="9" t="inlineStr">
        <is>
          <t>Department</t>
        </is>
      </c>
      <c r="G1" s="9" t="inlineStr">
        <is>
          <t>Assigned_Admin_Name</t>
        </is>
      </c>
      <c r="H1" s="9" t="inlineStr">
        <is>
          <t>Assigned_Admin_ID</t>
        </is>
      </c>
      <c r="I1" s="9" t="inlineStr">
        <is>
          <t>Assigned_Admin_Email</t>
        </is>
      </c>
      <c r="J1" s="9" t="inlineStr">
        <is>
          <t>Admin_Department</t>
        </is>
      </c>
      <c r="K1" s="9" t="inlineStr">
        <is>
          <t>Assigned_Project</t>
        </is>
      </c>
      <c r="L1" s="9" t="inlineStr">
        <is>
          <t>Primary_Software_Tool</t>
        </is>
      </c>
    </row>
    <row r="2">
      <c r="A2" s="20" t="inlineStr">
        <is>
          <t>EMP001</t>
        </is>
      </c>
      <c r="B2" s="21" t="inlineStr">
        <is>
          <t>Rahul Sharma</t>
        </is>
      </c>
      <c r="C2" s="22" t="inlineStr">
        <is>
          <t>rahul.sharma@kpcl.com</t>
        </is>
      </c>
      <c r="D2" s="22" t="inlineStr">
        <is>
          <t>Staff Engineer</t>
        </is>
      </c>
      <c r="E2" s="21" t="inlineStr">
        <is>
          <t>Senior Mechanical Engineer</t>
        </is>
      </c>
      <c r="F2" s="21" t="inlineStr">
        <is>
          <t>Product R&amp;D</t>
        </is>
      </c>
      <c r="G2" s="21" t="inlineStr">
        <is>
          <t>Prakash Varma</t>
        </is>
      </c>
      <c r="H2" s="20" t="inlineStr">
        <is>
          <t>ADM101</t>
        </is>
      </c>
      <c r="I2" s="22" t="inlineStr">
        <is>
          <t>prakash.varma.admin@kpcl.com</t>
        </is>
      </c>
      <c r="J2" s="21" t="inlineStr">
        <is>
          <t>IT &amp; SAM</t>
        </is>
      </c>
      <c r="K2" s="20" t="inlineStr">
        <is>
          <t>PRJ-KPCL-01</t>
        </is>
      </c>
      <c r="L2" s="21" t="inlineStr">
        <is>
          <t>SolidWorks Premium</t>
        </is>
      </c>
    </row>
    <row r="3">
      <c r="A3" s="28" t="inlineStr">
        <is>
          <t>EMP002</t>
        </is>
      </c>
      <c r="B3" s="29" t="inlineStr">
        <is>
          <t>Ananya Patel</t>
        </is>
      </c>
      <c r="C3" s="30" t="inlineStr">
        <is>
          <t>ananya.patel@kpcl.com</t>
        </is>
      </c>
      <c r="D3" s="30" t="inlineStr">
        <is>
          <t>Staff Engineer</t>
        </is>
      </c>
      <c r="E3" s="29" t="inlineStr">
        <is>
          <t>CAE Simulation Specialist</t>
        </is>
      </c>
      <c r="F3" s="29" t="inlineStr">
        <is>
          <t>Analysis &amp; CAE</t>
        </is>
      </c>
      <c r="G3" s="29" t="inlineStr">
        <is>
          <t>Prakash Varma</t>
        </is>
      </c>
      <c r="H3" s="28" t="inlineStr">
        <is>
          <t>ADM101</t>
        </is>
      </c>
      <c r="I3" s="30" t="inlineStr">
        <is>
          <t>prakash.varma.admin@kpcl.com</t>
        </is>
      </c>
      <c r="J3" s="29" t="inlineStr">
        <is>
          <t>IT &amp; SAM</t>
        </is>
      </c>
      <c r="K3" s="28" t="inlineStr">
        <is>
          <t>PRJ-KPCL-01</t>
        </is>
      </c>
      <c r="L3" s="29" t="inlineStr">
        <is>
          <t>ANSYS Mechanical</t>
        </is>
      </c>
    </row>
    <row r="4">
      <c r="A4" s="20" t="inlineStr">
        <is>
          <t>EMP003</t>
        </is>
      </c>
      <c r="B4" s="21" t="inlineStr">
        <is>
          <t>Vikram Deshmukh</t>
        </is>
      </c>
      <c r="C4" s="22" t="inlineStr">
        <is>
          <t>vikram.contractor@kpcl.com</t>
        </is>
      </c>
      <c r="D4" s="22" t="inlineStr">
        <is>
          <t>Project Worker</t>
        </is>
      </c>
      <c r="E4" s="21" t="inlineStr">
        <is>
          <t>Contract CAD Drafter</t>
        </is>
      </c>
      <c r="F4" s="21" t="inlineStr">
        <is>
          <t>Tooling &amp; Plant</t>
        </is>
      </c>
      <c r="G4" s="21" t="inlineStr">
        <is>
          <t>Prakash Varma</t>
        </is>
      </c>
      <c r="H4" s="20" t="inlineStr">
        <is>
          <t>ADM101</t>
        </is>
      </c>
      <c r="I4" s="22" t="inlineStr">
        <is>
          <t>prakash.varma.admin@kpcl.com</t>
        </is>
      </c>
      <c r="J4" s="21" t="inlineStr">
        <is>
          <t>IT &amp; SAM</t>
        </is>
      </c>
      <c r="K4" s="20" t="inlineStr">
        <is>
          <t>PRJ-KPCL-02</t>
        </is>
      </c>
      <c r="L4" s="21" t="inlineStr">
        <is>
          <t>Autodesk Inventor</t>
        </is>
      </c>
    </row>
    <row r="5">
      <c r="A5" s="28" t="inlineStr">
        <is>
          <t>ADM102</t>
        </is>
      </c>
      <c r="B5" s="29" t="inlineStr">
        <is>
          <t>Suresh Kulkarni</t>
        </is>
      </c>
      <c r="C5" s="30" t="inlineStr">
        <is>
          <t>suresh.kulkarni.admin@kpcl.com</t>
        </is>
      </c>
      <c r="D5" s="30" t="inlineStr">
        <is>
          <t>System Admin</t>
        </is>
      </c>
      <c r="E5" s="29" t="inlineStr">
        <is>
          <t>IT SAM &amp; License Admin</t>
        </is>
      </c>
      <c r="F5" s="29" t="inlineStr">
        <is>
          <t>IT &amp; SAM</t>
        </is>
      </c>
      <c r="G5" s="29" t="inlineStr">
        <is>
          <t>Prakash Varma</t>
        </is>
      </c>
      <c r="H5" s="28" t="inlineStr">
        <is>
          <t>ADM101</t>
        </is>
      </c>
      <c r="I5" s="30" t="inlineStr">
        <is>
          <t>prakash.varma.admin@kpcl.com</t>
        </is>
      </c>
      <c r="J5" s="29" t="inlineStr">
        <is>
          <t>IT &amp; SAM</t>
        </is>
      </c>
      <c r="K5" s="28" t="inlineStr">
        <is>
          <t>PRJ-SYS-00</t>
        </is>
      </c>
      <c r="L5" s="29" t="inlineStr">
        <is>
          <t>FlexLM Admin Tool</t>
        </is>
      </c>
    </row>
    <row r="6">
      <c r="A6" s="20" t="inlineStr">
        <is>
          <t>EMP005</t>
        </is>
      </c>
      <c r="B6" s="21" t="inlineStr">
        <is>
          <t>Neha Gupta</t>
        </is>
      </c>
      <c r="C6" s="22" t="inlineStr">
        <is>
          <t>neha.gupta@kpcl.com</t>
        </is>
      </c>
      <c r="D6" s="22" t="inlineStr">
        <is>
          <t>Staff Engineer</t>
        </is>
      </c>
      <c r="E6" s="21" t="inlineStr">
        <is>
          <t>FEA Structural Analyst</t>
        </is>
      </c>
      <c r="F6" s="21" t="inlineStr">
        <is>
          <t>Analysis &amp; CAE</t>
        </is>
      </c>
      <c r="G6" s="21" t="inlineStr">
        <is>
          <t>Suresh Kulkarni</t>
        </is>
      </c>
      <c r="H6" s="20" t="inlineStr">
        <is>
          <t>ADM102</t>
        </is>
      </c>
      <c r="I6" s="22" t="inlineStr">
        <is>
          <t>suresh.kulkarni.admin@kpcl.com</t>
        </is>
      </c>
      <c r="J6" s="21" t="inlineStr">
        <is>
          <t>IT &amp; SAM</t>
        </is>
      </c>
      <c r="K6" s="20" t="inlineStr">
        <is>
          <t>PRJ-KPCL-03</t>
        </is>
      </c>
      <c r="L6" s="21" t="inlineStr">
        <is>
          <t>Altair HyperWorks</t>
        </is>
      </c>
    </row>
    <row r="7">
      <c r="A7" s="28" t="inlineStr">
        <is>
          <t>EMP006</t>
        </is>
      </c>
      <c r="B7" s="29" t="inlineStr">
        <is>
          <t>Amit Joshi</t>
        </is>
      </c>
      <c r="C7" s="30" t="inlineStr">
        <is>
          <t>worker.amit@kpcl.com</t>
        </is>
      </c>
      <c r="D7" s="30" t="inlineStr">
        <is>
          <t>Project Worker</t>
        </is>
      </c>
      <c r="E7" s="29" t="inlineStr">
        <is>
          <t>CAD Design Worker</t>
        </is>
      </c>
      <c r="F7" s="29" t="inlineStr">
        <is>
          <t>Product R&amp;D</t>
        </is>
      </c>
      <c r="G7" s="29" t="inlineStr">
        <is>
          <t>Suresh Kulkarni</t>
        </is>
      </c>
      <c r="H7" s="28" t="inlineStr">
        <is>
          <t>ADM102</t>
        </is>
      </c>
      <c r="I7" s="30" t="inlineStr">
        <is>
          <t>suresh.kulkarni.admin@kpcl.com</t>
        </is>
      </c>
      <c r="J7" s="29" t="inlineStr">
        <is>
          <t>IT &amp; SAM</t>
        </is>
      </c>
      <c r="K7" s="28" t="inlineStr">
        <is>
          <t>PRJ-KPCL-01</t>
        </is>
      </c>
      <c r="L7" s="29" t="inlineStr">
        <is>
          <t>SolidWorks Premium</t>
        </is>
      </c>
    </row>
    <row r="8">
      <c r="A8" s="20" t="inlineStr">
        <is>
          <t>EMP007</t>
        </is>
      </c>
      <c r="B8" s="21" t="inlineStr">
        <is>
          <t>Pooja Mehta</t>
        </is>
      </c>
      <c r="C8" s="22" t="inlineStr">
        <is>
          <t>pooja.mehta@kpcl.com</t>
        </is>
      </c>
      <c r="D8" s="22" t="inlineStr">
        <is>
          <t>Staff Engineer</t>
        </is>
      </c>
      <c r="E8" s="21" t="inlineStr">
        <is>
          <t>Control Systems Designer</t>
        </is>
      </c>
      <c r="F8" s="21" t="inlineStr">
        <is>
          <t>Electrical &amp; Embedded</t>
        </is>
      </c>
      <c r="G8" s="21" t="inlineStr">
        <is>
          <t>Prakash Varma</t>
        </is>
      </c>
      <c r="H8" s="20" t="inlineStr">
        <is>
          <t>ADM101</t>
        </is>
      </c>
      <c r="I8" s="22" t="inlineStr">
        <is>
          <t>prakash.varma.admin@kpcl.com</t>
        </is>
      </c>
      <c r="J8" s="21" t="inlineStr">
        <is>
          <t>IT &amp; SAM</t>
        </is>
      </c>
      <c r="K8" s="20" t="inlineStr">
        <is>
          <t>PRJ-KPCL-04</t>
        </is>
      </c>
      <c r="L8" s="21" t="inlineStr">
        <is>
          <t>Cadence Virtuoso</t>
        </is>
      </c>
    </row>
    <row r="9">
      <c r="A9" s="28" t="inlineStr">
        <is>
          <t>EMP008</t>
        </is>
      </c>
      <c r="B9" s="29" t="inlineStr">
        <is>
          <t>Rohan Verma</t>
        </is>
      </c>
      <c r="C9" s="30" t="inlineStr">
        <is>
          <t>rohan.contractor@kpcl.com</t>
        </is>
      </c>
      <c r="D9" s="30" t="inlineStr">
        <is>
          <t>Project Worker</t>
        </is>
      </c>
      <c r="E9" s="29" t="inlineStr">
        <is>
          <t>Drafting Specialist</t>
        </is>
      </c>
      <c r="F9" s="29" t="inlineStr">
        <is>
          <t>Tooling &amp; Plant</t>
        </is>
      </c>
      <c r="G9" s="29" t="inlineStr">
        <is>
          <t>Prakash Varma</t>
        </is>
      </c>
      <c r="H9" s="28" t="inlineStr">
        <is>
          <t>ADM101</t>
        </is>
      </c>
      <c r="I9" s="30" t="inlineStr">
        <is>
          <t>prakash.varma.admin@kpcl.com</t>
        </is>
      </c>
      <c r="J9" s="29" t="inlineStr">
        <is>
          <t>IT &amp; SAM</t>
        </is>
      </c>
      <c r="K9" s="28" t="inlineStr">
        <is>
          <t>PRJ-KPCL-02</t>
        </is>
      </c>
      <c r="L9" s="29" t="inlineStr">
        <is>
          <t>Autodesk Inventor</t>
        </is>
      </c>
    </row>
    <row r="10">
      <c r="A10" s="20" t="inlineStr">
        <is>
          <t>EMP009</t>
        </is>
      </c>
      <c r="B10" s="21" t="inlineStr">
        <is>
          <t>Kavita Rao</t>
        </is>
      </c>
      <c r="C10" s="22" t="inlineStr">
        <is>
          <t>kavita.rao@kpcl.com</t>
        </is>
      </c>
      <c r="D10" s="22" t="inlineStr">
        <is>
          <t>Staff Engineer</t>
        </is>
      </c>
      <c r="E10" s="21" t="inlineStr">
        <is>
          <t>Thermal Engineer</t>
        </is>
      </c>
      <c r="F10" s="21" t="inlineStr">
        <is>
          <t>Analysis &amp; CAE</t>
        </is>
      </c>
      <c r="G10" s="21" t="inlineStr">
        <is>
          <t>Suresh Kulkarni</t>
        </is>
      </c>
      <c r="H10" s="20" t="inlineStr">
        <is>
          <t>ADM102</t>
        </is>
      </c>
      <c r="I10" s="22" t="inlineStr">
        <is>
          <t>suresh.kulkarni.admin@kpcl.com</t>
        </is>
      </c>
      <c r="J10" s="21" t="inlineStr">
        <is>
          <t>IT &amp; SAM</t>
        </is>
      </c>
      <c r="K10" s="20" t="inlineStr">
        <is>
          <t>PRJ-KPCL-03</t>
        </is>
      </c>
      <c r="L10" s="21" t="inlineStr">
        <is>
          <t>ANSYS Mechanical</t>
        </is>
      </c>
    </row>
    <row r="11">
      <c r="A11" s="28" t="inlineStr">
        <is>
          <t>ADM103</t>
        </is>
      </c>
      <c r="B11" s="29" t="inlineStr">
        <is>
          <t>Priya Saxena</t>
        </is>
      </c>
      <c r="C11" s="30" t="inlineStr">
        <is>
          <t>priya.saxena.admin@kpcl.com</t>
        </is>
      </c>
      <c r="D11" s="30" t="inlineStr">
        <is>
          <t>System Admin</t>
        </is>
      </c>
      <c r="E11" s="29" t="inlineStr">
        <is>
          <t>R&amp;D Operations Admin</t>
        </is>
      </c>
      <c r="F11" s="29" t="inlineStr">
        <is>
          <t>Engineering Ops</t>
        </is>
      </c>
      <c r="G11" s="29" t="inlineStr">
        <is>
          <t>Prakash Varma</t>
        </is>
      </c>
      <c r="H11" s="28" t="inlineStr">
        <is>
          <t>ADM101</t>
        </is>
      </c>
      <c r="I11" s="30" t="inlineStr">
        <is>
          <t>prakash.varma.admin@kpcl.com</t>
        </is>
      </c>
      <c r="J11" s="29" t="inlineStr">
        <is>
          <t>IT &amp; SAM</t>
        </is>
      </c>
      <c r="K11" s="28" t="inlineStr">
        <is>
          <t>PRJ-SYS-00</t>
        </is>
      </c>
      <c r="L11" s="29" t="inlineStr">
        <is>
          <t>OpenLM Management</t>
        </is>
      </c>
    </row>
    <row r="12">
      <c r="A12" s="20" t="inlineStr">
        <is>
          <t>EMP015</t>
        </is>
      </c>
      <c r="B12" s="21" t="inlineStr">
        <is>
          <t>Ganesh Hegde</t>
        </is>
      </c>
      <c r="C12" s="22" t="inlineStr">
        <is>
          <t>ganesh.hegde@kpcl.com</t>
        </is>
      </c>
      <c r="D12" s="22" t="inlineStr">
        <is>
          <t>Staff Engineer</t>
        </is>
      </c>
      <c r="E12" s="21" t="inlineStr">
        <is>
          <t>Vibration Analyst</t>
        </is>
      </c>
      <c r="F12" s="21" t="inlineStr">
        <is>
          <t>Analysis &amp; CAE</t>
        </is>
      </c>
      <c r="G12" s="21" t="inlineStr">
        <is>
          <t>Priya Saxena</t>
        </is>
      </c>
      <c r="H12" s="20" t="inlineStr">
        <is>
          <t>ADM103</t>
        </is>
      </c>
      <c r="I12" s="22" t="inlineStr">
        <is>
          <t>priya.saxena.admin@kpcl.com</t>
        </is>
      </c>
      <c r="J12" s="21" t="inlineStr">
        <is>
          <t>Engineering Ops</t>
        </is>
      </c>
      <c r="K12" s="20" t="inlineStr">
        <is>
          <t>PRJ-KPCL-03</t>
        </is>
      </c>
      <c r="L12" s="21" t="inlineStr">
        <is>
          <t>Altair HyperWorks</t>
        </is>
      </c>
    </row>
    <row r="13">
      <c r="A13" s="28" t="inlineStr">
        <is>
          <t>EMP016</t>
        </is>
      </c>
      <c r="B13" s="29" t="inlineStr">
        <is>
          <t>Nitin Gadkari</t>
        </is>
      </c>
      <c r="C13" s="30" t="inlineStr">
        <is>
          <t>worker.nitin@kpcl.com</t>
        </is>
      </c>
      <c r="D13" s="30" t="inlineStr">
        <is>
          <t>Project Worker</t>
        </is>
      </c>
      <c r="E13" s="29" t="inlineStr">
        <is>
          <t>Drafting Assistant</t>
        </is>
      </c>
      <c r="F13" s="29" t="inlineStr">
        <is>
          <t>Tooling &amp; Plant</t>
        </is>
      </c>
      <c r="G13" s="29" t="inlineStr">
        <is>
          <t>Priya Saxena</t>
        </is>
      </c>
      <c r="H13" s="28" t="inlineStr">
        <is>
          <t>ADM103</t>
        </is>
      </c>
      <c r="I13" s="30" t="inlineStr">
        <is>
          <t>priya.saxena.admin@kpcl.com</t>
        </is>
      </c>
      <c r="J13" s="29" t="inlineStr">
        <is>
          <t>Engineering Ops</t>
        </is>
      </c>
      <c r="K13" s="28" t="inlineStr">
        <is>
          <t>PRJ-KPCL-02</t>
        </is>
      </c>
      <c r="L13" s="29" t="inlineStr">
        <is>
          <t>Autodesk Inventor</t>
        </is>
      </c>
    </row>
    <row r="14">
      <c r="A14" s="20" t="inlineStr">
        <is>
          <t>EMP017</t>
        </is>
      </c>
      <c r="B14" s="21" t="inlineStr">
        <is>
          <t>Swati Chaudhari</t>
        </is>
      </c>
      <c r="C14" s="22" t="inlineStr">
        <is>
          <t>swati.c@kpcl.com</t>
        </is>
      </c>
      <c r="D14" s="22" t="inlineStr">
        <is>
          <t>Staff Engineer</t>
        </is>
      </c>
      <c r="E14" s="21" t="inlineStr">
        <is>
          <t>Firmware Engineer</t>
        </is>
      </c>
      <c r="F14" s="21" t="inlineStr">
        <is>
          <t>Electrical &amp; Embedded</t>
        </is>
      </c>
      <c r="G14" s="21" t="inlineStr">
        <is>
          <t>Prakash Varma</t>
        </is>
      </c>
      <c r="H14" s="20" t="inlineStr">
        <is>
          <t>ADM101</t>
        </is>
      </c>
      <c r="I14" s="22" t="inlineStr">
        <is>
          <t>prakash.varma.admin@kpcl.com</t>
        </is>
      </c>
      <c r="J14" s="21" t="inlineStr">
        <is>
          <t>IT &amp; SAM</t>
        </is>
      </c>
      <c r="K14" s="20" t="inlineStr">
        <is>
          <t>PRJ-KPCL-04</t>
        </is>
      </c>
      <c r="L14" s="21" t="inlineStr">
        <is>
          <t>Cadence Virtuoso</t>
        </is>
      </c>
    </row>
    <row r="15">
      <c r="A15" s="28" t="inlineStr">
        <is>
          <t>EMP018</t>
        </is>
      </c>
      <c r="B15" s="29" t="inlineStr">
        <is>
          <t>Alok Mishra</t>
        </is>
      </c>
      <c r="C15" s="30" t="inlineStr">
        <is>
          <t>alok.mishra@kpcl.com</t>
        </is>
      </c>
      <c r="D15" s="30" t="inlineStr">
        <is>
          <t>Staff Engineer</t>
        </is>
      </c>
      <c r="E15" s="29" t="inlineStr">
        <is>
          <t>Compressor CAD Specialist</t>
        </is>
      </c>
      <c r="F15" s="29" t="inlineStr">
        <is>
          <t>Product R&amp;D</t>
        </is>
      </c>
      <c r="G15" s="29" t="inlineStr">
        <is>
          <t>Priya Saxena</t>
        </is>
      </c>
      <c r="H15" s="28" t="inlineStr">
        <is>
          <t>ADM103</t>
        </is>
      </c>
      <c r="I15" s="30" t="inlineStr">
        <is>
          <t>priya.saxena.admin@kpcl.com</t>
        </is>
      </c>
      <c r="J15" s="29" t="inlineStr">
        <is>
          <t>Engineering Ops</t>
        </is>
      </c>
      <c r="K15" s="28" t="inlineStr">
        <is>
          <t>PRJ-KPCL-01</t>
        </is>
      </c>
      <c r="L15" s="29" t="inlineStr">
        <is>
          <t>SolidWorks Premium</t>
        </is>
      </c>
    </row>
    <row r="16">
      <c r="A16" s="20" t="inlineStr">
        <is>
          <t>ADM101</t>
        </is>
      </c>
      <c r="B16" s="21" t="inlineStr">
        <is>
          <t>Prakash Varma</t>
        </is>
      </c>
      <c r="C16" s="22" t="inlineStr">
        <is>
          <t>prakash.varma.admin@kpcl.com</t>
        </is>
      </c>
      <c r="D16" s="22" t="inlineStr">
        <is>
          <t>System Admin</t>
        </is>
      </c>
      <c r="E16" s="21" t="inlineStr">
        <is>
          <t>Head of IT &amp; Software Assets</t>
        </is>
      </c>
      <c r="F16" s="21" t="inlineStr">
        <is>
          <t>IT &amp; SAM</t>
        </is>
      </c>
      <c r="G16" s="21" t="inlineStr">
        <is>
          <t>Self / Executive</t>
        </is>
      </c>
      <c r="H16" s="20" t="inlineStr">
        <is>
          <t>EXEC01</t>
        </is>
      </c>
      <c r="I16" s="22" t="inlineStr">
        <is>
          <t>cio.office@kpcl.com</t>
        </is>
      </c>
      <c r="J16" s="21" t="inlineStr">
        <is>
          <t>Executive Leadership</t>
        </is>
      </c>
      <c r="K16" s="20" t="inlineStr">
        <is>
          <t>PRJ-SYS-00</t>
        </is>
      </c>
      <c r="L16" s="21" t="inlineStr">
        <is>
          <t>Central SAM Dashboard</t>
        </is>
      </c>
    </row>
    <row r="17">
      <c r="A17" s="20" t="inlineStr">
        <is>
          <t>DH201</t>
        </is>
      </c>
      <c r="B17" s="21" t="inlineStr">
        <is>
          <t>Meera Joshi</t>
        </is>
      </c>
      <c r="C17" s="22" t="inlineStr">
        <is>
          <t>meera.joshi.depthead@kpcl.com</t>
        </is>
      </c>
      <c r="D17" s="22" t="inlineStr">
        <is>
          <t>Department Head</t>
        </is>
      </c>
      <c r="E17" s="21" t="inlineStr">
        <is>
          <t>Head, Product R&amp;D</t>
        </is>
      </c>
      <c r="F17" s="21" t="inlineStr">
        <is>
          <t>Product R&amp;D</t>
        </is>
      </c>
      <c r="G17" s="21" t="inlineStr">
        <is>
          <t>Prakash Varma</t>
        </is>
      </c>
      <c r="H17" s="20" t="inlineStr">
        <is>
          <t>ADM101</t>
        </is>
      </c>
      <c r="I17" s="22" t="inlineStr">
        <is>
          <t>prakash.varma.admin@kpcl.com</t>
        </is>
      </c>
      <c r="J17" s="21" t="inlineStr">
        <is>
          <t>IT &amp; SAM</t>
        </is>
      </c>
      <c r="K17" s="20" t="inlineStr">
        <is>
          <t>ALL-DEPT</t>
        </is>
      </c>
      <c r="L17" s="21" t="inlineStr">
        <is>
          <t>SolidWorks Premium</t>
        </is>
      </c>
    </row>
    <row r="18">
      <c r="A18" s="20" t="inlineStr">
        <is>
          <t>DH202</t>
        </is>
      </c>
      <c r="B18" s="21" t="inlineStr">
        <is>
          <t>Harish Kulkarni</t>
        </is>
      </c>
      <c r="C18" s="22" t="inlineStr">
        <is>
          <t>harish.kulkarni.depthead@kpcl.com</t>
        </is>
      </c>
      <c r="D18" s="22" t="inlineStr">
        <is>
          <t>Department Head</t>
        </is>
      </c>
      <c r="E18" s="21" t="inlineStr">
        <is>
          <t>Head, Analysis &amp; CAE</t>
        </is>
      </c>
      <c r="F18" s="21" t="inlineStr">
        <is>
          <t>Analysis &amp; CAE</t>
        </is>
      </c>
      <c r="G18" s="21" t="inlineStr">
        <is>
          <t>Prakash Varma</t>
        </is>
      </c>
      <c r="H18" s="20" t="inlineStr">
        <is>
          <t>ADM101</t>
        </is>
      </c>
      <c r="I18" s="22" t="inlineStr">
        <is>
          <t>prakash.varma.admin@kpcl.com</t>
        </is>
      </c>
      <c r="J18" s="21" t="inlineStr">
        <is>
          <t>IT &amp; SAM</t>
        </is>
      </c>
      <c r="K18" s="20" t="inlineStr">
        <is>
          <t>ALL-DEPT</t>
        </is>
      </c>
      <c r="L18" s="21" t="inlineStr">
        <is>
          <t>ANSYS Mechanical</t>
        </is>
      </c>
    </row>
    <row r="19">
      <c r="A19" s="20" t="inlineStr">
        <is>
          <t>DH203</t>
        </is>
      </c>
      <c r="B19" s="21" t="inlineStr">
        <is>
          <t>Vikram Patil</t>
        </is>
      </c>
      <c r="C19" s="22" t="inlineStr">
        <is>
          <t>vikram.patil.depthead@kpcl.com</t>
        </is>
      </c>
      <c r="D19" s="22" t="inlineStr">
        <is>
          <t>Department Head</t>
        </is>
      </c>
      <c r="E19" s="21" t="inlineStr">
        <is>
          <t>Head, Tooling &amp; Plant</t>
        </is>
      </c>
      <c r="F19" s="21" t="inlineStr">
        <is>
          <t>Tooling &amp; Plant</t>
        </is>
      </c>
      <c r="G19" s="21" t="inlineStr">
        <is>
          <t>Prakash Varma</t>
        </is>
      </c>
      <c r="H19" s="20" t="inlineStr">
        <is>
          <t>ADM101</t>
        </is>
      </c>
      <c r="I19" s="22" t="inlineStr">
        <is>
          <t>prakash.varma.admin@kpcl.com</t>
        </is>
      </c>
      <c r="J19" s="21" t="inlineStr">
        <is>
          <t>IT &amp; SAM</t>
        </is>
      </c>
      <c r="K19" s="20" t="inlineStr">
        <is>
          <t>ALL-DEPT</t>
        </is>
      </c>
      <c r="L19" s="21" t="inlineStr">
        <is>
          <t>Autodesk Inventor</t>
        </is>
      </c>
    </row>
    <row r="20">
      <c r="A20" s="20" t="inlineStr">
        <is>
          <t>DH204</t>
        </is>
      </c>
      <c r="B20" s="21" t="inlineStr">
        <is>
          <t>Anjali Rao</t>
        </is>
      </c>
      <c r="C20" s="22" t="inlineStr">
        <is>
          <t>anjali.rao.depthead@kpcl.com</t>
        </is>
      </c>
      <c r="D20" s="22" t="inlineStr">
        <is>
          <t>Department Head</t>
        </is>
      </c>
      <c r="E20" s="21" t="inlineStr">
        <is>
          <t>Head, Electrical &amp; Embedded</t>
        </is>
      </c>
      <c r="F20" s="21" t="inlineStr">
        <is>
          <t>Electrical &amp; Embedded</t>
        </is>
      </c>
      <c r="G20" s="21" t="inlineStr">
        <is>
          <t>Prakash Varma</t>
        </is>
      </c>
      <c r="H20" s="20" t="inlineStr">
        <is>
          <t>ADM101</t>
        </is>
      </c>
      <c r="I20" s="22" t="inlineStr">
        <is>
          <t>prakash.varma.admin@kpcl.com</t>
        </is>
      </c>
      <c r="J20" s="21" t="inlineStr">
        <is>
          <t>IT &amp; SAM</t>
        </is>
      </c>
      <c r="K20" s="20" t="inlineStr">
        <is>
          <t>ALL-DEPT</t>
        </is>
      </c>
      <c r="L20" s="21" t="inlineStr">
        <is>
          <t>Cadence Virtuoso</t>
        </is>
      </c>
    </row>
    <row r="21">
      <c r="A21" s="20" t="inlineStr">
        <is>
          <t>DH205</t>
        </is>
      </c>
      <c r="B21" s="21" t="inlineStr">
        <is>
          <t>Sanjay Deshpande</t>
        </is>
      </c>
      <c r="C21" s="22" t="inlineStr">
        <is>
          <t>sanjay.deshpande.depthead@kpcl.com</t>
        </is>
      </c>
      <c r="D21" s="22" t="inlineStr">
        <is>
          <t>Department Head</t>
        </is>
      </c>
      <c r="E21" s="21" t="inlineStr">
        <is>
          <t>Head, Product Engineering</t>
        </is>
      </c>
      <c r="F21" s="21" t="inlineStr">
        <is>
          <t>Product Engineering</t>
        </is>
      </c>
      <c r="G21" s="21" t="inlineStr">
        <is>
          <t>Prakash Varma</t>
        </is>
      </c>
      <c r="H21" s="20" t="inlineStr">
        <is>
          <t>ADM101</t>
        </is>
      </c>
      <c r="I21" s="22" t="inlineStr">
        <is>
          <t>prakash.varma.admin@kpcl.com</t>
        </is>
      </c>
      <c r="J21" s="21" t="inlineStr">
        <is>
          <t>IT &amp; SAM</t>
        </is>
      </c>
      <c r="K21" s="20" t="inlineStr">
        <is>
          <t>ALL-DEPT</t>
        </is>
      </c>
      <c r="L21" s="21" t="inlineStr">
        <is>
          <t>Autodesk Inventor</t>
        </is>
      </c>
    </row>
    <row r="22">
      <c r="A22" s="20" t="inlineStr">
        <is>
          <t>PH301</t>
        </is>
      </c>
      <c r="B22" s="21" t="inlineStr">
        <is>
          <t>Amit Gokhale</t>
        </is>
      </c>
      <c r="C22" s="22" t="inlineStr">
        <is>
          <t>amit.gokhale.projecthead@kpcl.com</t>
        </is>
      </c>
      <c r="D22" s="22" t="inlineStr">
        <is>
          <t>Project Head</t>
        </is>
      </c>
      <c r="E22" s="21" t="inlineStr">
        <is>
          <t>Project Head, Compressor Redesign</t>
        </is>
      </c>
      <c r="F22" s="21" t="inlineStr">
        <is>
          <t>Product R&amp;D</t>
        </is>
      </c>
      <c r="G22" s="21" t="inlineStr">
        <is>
          <t>Prakash Varma</t>
        </is>
      </c>
      <c r="H22" s="20" t="inlineStr">
        <is>
          <t>ADM101</t>
        </is>
      </c>
      <c r="I22" s="22" t="inlineStr">
        <is>
          <t>prakash.varma.admin@kpcl.com</t>
        </is>
      </c>
      <c r="J22" s="21" t="inlineStr">
        <is>
          <t>IT &amp; SAM</t>
        </is>
      </c>
      <c r="K22" s="20" t="inlineStr">
        <is>
          <t>PRJ-KPCL-01</t>
        </is>
      </c>
      <c r="L22" s="21" t="inlineStr">
        <is>
          <t>SolidWorks Premium</t>
        </is>
      </c>
    </row>
    <row r="23">
      <c r="A23" s="20" t="inlineStr">
        <is>
          <t>PH302</t>
        </is>
      </c>
      <c r="B23" s="21" t="inlineStr">
        <is>
          <t>Ganesh Pawar</t>
        </is>
      </c>
      <c r="C23" s="22" t="inlineStr">
        <is>
          <t>ganesh.pawar.projecthead@kpcl.com</t>
        </is>
      </c>
      <c r="D23" s="22" t="inlineStr">
        <is>
          <t>Project Head</t>
        </is>
      </c>
      <c r="E23" s="21" t="inlineStr">
        <is>
          <t>Project Head, Fixture Library</t>
        </is>
      </c>
      <c r="F23" s="21" t="inlineStr">
        <is>
          <t>Tooling &amp; Plant</t>
        </is>
      </c>
      <c r="G23" s="21" t="inlineStr">
        <is>
          <t>Prakash Varma</t>
        </is>
      </c>
      <c r="H23" s="20" t="inlineStr">
        <is>
          <t>ADM101</t>
        </is>
      </c>
      <c r="I23" s="22" t="inlineStr">
        <is>
          <t>prakash.varma.admin@kpcl.com</t>
        </is>
      </c>
      <c r="J23" s="21" t="inlineStr">
        <is>
          <t>IT &amp; SAM</t>
        </is>
      </c>
      <c r="K23" s="20" t="inlineStr">
        <is>
          <t>PRJ-KPCL-02</t>
        </is>
      </c>
      <c r="L23" s="21" t="inlineStr">
        <is>
          <t>Autodesk Inventor</t>
        </is>
      </c>
    </row>
    <row r="24">
      <c r="A24" s="20" t="inlineStr">
        <is>
          <t>PH303</t>
        </is>
      </c>
      <c r="B24" s="21" t="inlineStr">
        <is>
          <t>Sneha Bhosale</t>
        </is>
      </c>
      <c r="C24" s="22" t="inlineStr">
        <is>
          <t>sneha.bhosale.projecthead@kpcl.com</t>
        </is>
      </c>
      <c r="D24" s="22" t="inlineStr">
        <is>
          <t>Project Head</t>
        </is>
      </c>
      <c r="E24" s="21" t="inlineStr">
        <is>
          <t>Project Head, CFD Optimisation</t>
        </is>
      </c>
      <c r="F24" s="21" t="inlineStr">
        <is>
          <t>Analysis &amp; CAE</t>
        </is>
      </c>
      <c r="G24" s="21" t="inlineStr">
        <is>
          <t>Prakash Varma</t>
        </is>
      </c>
      <c r="H24" s="20" t="inlineStr">
        <is>
          <t>ADM101</t>
        </is>
      </c>
      <c r="I24" s="22" t="inlineStr">
        <is>
          <t>prakash.varma.admin@kpcl.com</t>
        </is>
      </c>
      <c r="J24" s="21" t="inlineStr">
        <is>
          <t>IT &amp; SAM</t>
        </is>
      </c>
      <c r="K24" s="20" t="inlineStr">
        <is>
          <t>PRJ-KPCL-03</t>
        </is>
      </c>
      <c r="L24" s="21" t="inlineStr">
        <is>
          <t>ANSYS Mechanical</t>
        </is>
      </c>
    </row>
    <row r="25">
      <c r="A25" s="20" t="inlineStr">
        <is>
          <t>PH304</t>
        </is>
      </c>
      <c r="B25" s="21" t="inlineStr">
        <is>
          <t>Arjun Menon</t>
        </is>
      </c>
      <c r="C25" s="22" t="inlineStr">
        <is>
          <t>arjun.menon.projecthead@kpcl.com</t>
        </is>
      </c>
      <c r="D25" s="22" t="inlineStr">
        <is>
          <t>Project Head</t>
        </is>
      </c>
      <c r="E25" s="21" t="inlineStr">
        <is>
          <t>Project Head, Controller Board</t>
        </is>
      </c>
      <c r="F25" s="21" t="inlineStr">
        <is>
          <t>Electrical &amp; Embedded</t>
        </is>
      </c>
      <c r="G25" s="21" t="inlineStr">
        <is>
          <t>Prakash Varma</t>
        </is>
      </c>
      <c r="H25" s="20" t="inlineStr">
        <is>
          <t>ADM101</t>
        </is>
      </c>
      <c r="I25" s="22" t="inlineStr">
        <is>
          <t>prakash.varma.admin@kpcl.com</t>
        </is>
      </c>
      <c r="J25" s="21" t="inlineStr">
        <is>
          <t>IT &amp; SAM</t>
        </is>
      </c>
      <c r="K25" s="20" t="inlineStr">
        <is>
          <t>PRJ-KPCL-04</t>
        </is>
      </c>
      <c r="L25" s="21" t="inlineStr">
        <is>
          <t>Cadence Virtuoso</t>
        </is>
      </c>
    </row>
    <row r="26">
      <c r="A26" s="20" t="inlineStr">
        <is>
          <t>PH305</t>
        </is>
      </c>
      <c r="B26" s="21" t="inlineStr">
        <is>
          <t>Kavita Shinde</t>
        </is>
      </c>
      <c r="C26" s="22" t="inlineStr">
        <is>
          <t>kavita.shinde.projecthead@kpcl.com</t>
        </is>
      </c>
      <c r="D26" s="22" t="inlineStr">
        <is>
          <t>Project Head</t>
        </is>
      </c>
      <c r="E26" s="21" t="inlineStr">
        <is>
          <t>Project Head, Gearbox Upgrade</t>
        </is>
      </c>
      <c r="F26" s="21" t="inlineStr">
        <is>
          <t>Product Engineering</t>
        </is>
      </c>
      <c r="G26" s="21" t="inlineStr">
        <is>
          <t>Prakash Varma</t>
        </is>
      </c>
      <c r="H26" s="20" t="inlineStr">
        <is>
          <t>ADM101</t>
        </is>
      </c>
      <c r="I26" s="22" t="inlineStr">
        <is>
          <t>prakash.varma.admin@kpcl.com</t>
        </is>
      </c>
      <c r="J26" s="21" t="inlineStr">
        <is>
          <t>IT &amp; SAM</t>
        </is>
      </c>
      <c r="K26" s="20" t="inlineStr">
        <is>
          <t>PRJ-KPCL-05</t>
        </is>
      </c>
      <c r="L26" s="21" t="inlineStr">
        <is>
          <t>Autodesk Inventor</t>
        </is>
      </c>
    </row>
    <row r="27">
      <c r="A27" s="20" t="inlineStr">
        <is>
          <t>EMP031</t>
        </is>
      </c>
      <c r="B27" s="21" t="inlineStr">
        <is>
          <t>Tejas Karve</t>
        </is>
      </c>
      <c r="C27" s="22" t="inlineStr">
        <is>
          <t>tejas.karve@kpcl.com</t>
        </is>
      </c>
      <c r="D27" s="22" t="inlineStr">
        <is>
          <t>Staff Engineer</t>
        </is>
      </c>
      <c r="E27" s="21" t="inlineStr">
        <is>
          <t>Gearbox Design Engineer</t>
        </is>
      </c>
      <c r="F27" s="21" t="inlineStr">
        <is>
          <t>Product Engineering</t>
        </is>
      </c>
      <c r="G27" s="21" t="inlineStr">
        <is>
          <t>Suresh Kulkarni</t>
        </is>
      </c>
      <c r="H27" s="20" t="inlineStr">
        <is>
          <t>ADM102</t>
        </is>
      </c>
      <c r="I27" s="22" t="inlineStr">
        <is>
          <t>suresh.kulkarni.admin@kpcl.com</t>
        </is>
      </c>
      <c r="J27" s="21" t="inlineStr">
        <is>
          <t>IT &amp; SAM</t>
        </is>
      </c>
      <c r="K27" s="20" t="inlineStr">
        <is>
          <t>PRJ-KPCL-05</t>
        </is>
      </c>
      <c r="L27" s="21" t="inlineStr">
        <is>
          <t>Autodesk Inventor</t>
        </is>
      </c>
    </row>
    <row r="28">
      <c r="A28" s="20" t="inlineStr">
        <is>
          <t>EMP032</t>
        </is>
      </c>
      <c r="B28" s="21" t="inlineStr">
        <is>
          <t>Snehal Ranade</t>
        </is>
      </c>
      <c r="C28" s="22" t="inlineStr">
        <is>
          <t>snehal.contractor@kpcl.com</t>
        </is>
      </c>
      <c r="D28" s="22" t="inlineStr">
        <is>
          <t>Project Worker</t>
        </is>
      </c>
      <c r="E28" s="21" t="inlineStr">
        <is>
          <t>Contract Detailer</t>
        </is>
      </c>
      <c r="F28" s="21" t="inlineStr">
        <is>
          <t>Product Engineering</t>
        </is>
      </c>
      <c r="G28" s="21" t="inlineStr">
        <is>
          <t>Suresh Kulkarni</t>
        </is>
      </c>
      <c r="H28" s="20" t="inlineStr">
        <is>
          <t>ADM102</t>
        </is>
      </c>
      <c r="I28" s="22" t="inlineStr">
        <is>
          <t>suresh.kulkarni.admin@kpcl.com</t>
        </is>
      </c>
      <c r="J28" s="21" t="inlineStr">
        <is>
          <t>IT &amp; SAM</t>
        </is>
      </c>
      <c r="K28" s="20" t="inlineStr">
        <is>
          <t>PRJ-KPCL-05</t>
        </is>
      </c>
      <c r="L28" s="21" t="inlineStr">
        <is>
          <t>SolidWorks Premium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50" customWidth="1" min="3" max="3"/>
    <col width="32" customWidth="1" min="4" max="4"/>
    <col width="178" customWidth="1" min="5" max="5"/>
  </cols>
  <sheetData>
    <row r="1">
      <c r="A1" s="9" t="inlineStr">
        <is>
          <t>Field_Name</t>
        </is>
      </c>
      <c r="B1" s="9" t="inlineStr">
        <is>
          <t>Data_Type</t>
        </is>
      </c>
      <c r="C1" s="9" t="inlineStr">
        <is>
          <t>Sample_Value</t>
        </is>
      </c>
      <c r="D1" s="9" t="inlineStr">
        <is>
          <t>Role_Identification_Purpose</t>
        </is>
      </c>
      <c r="E1" s="9" t="inlineStr">
        <is>
          <t>Description_&amp;_ML_Usage</t>
        </is>
      </c>
    </row>
    <row r="2">
      <c r="A2" s="22" t="inlineStr">
        <is>
          <t>Employee_Name</t>
        </is>
      </c>
      <c r="B2" s="21" t="inlineStr">
        <is>
          <t>String</t>
        </is>
      </c>
      <c r="C2" s="22" t="inlineStr">
        <is>
          <t>Rahul Sharma</t>
        </is>
      </c>
      <c r="D2" s="22" t="inlineStr">
        <is>
          <t>User Identity</t>
        </is>
      </c>
      <c r="E2" s="21" t="inlineStr">
        <is>
          <t>Name of the engineer or project worker logging the session.</t>
        </is>
      </c>
    </row>
    <row r="3">
      <c r="A3" s="30" t="inlineStr">
        <is>
          <t>Employee_ID</t>
        </is>
      </c>
      <c r="B3" s="29" t="inlineStr">
        <is>
          <t>String</t>
        </is>
      </c>
      <c r="C3" s="30" t="inlineStr">
        <is>
          <t>EMP001 / ADM102</t>
        </is>
      </c>
      <c r="D3" s="30" t="inlineStr">
        <is>
          <t>User Identity</t>
        </is>
      </c>
      <c r="E3" s="29" t="inlineStr">
        <is>
          <t>Unique identifier for the user.</t>
        </is>
      </c>
    </row>
    <row r="4">
      <c r="A4" s="22" t="inlineStr">
        <is>
          <t>Employee_Email</t>
        </is>
      </c>
      <c r="B4" s="21" t="inlineStr">
        <is>
          <t>String</t>
        </is>
      </c>
      <c r="C4" s="22" t="inlineStr">
        <is>
          <t>rahul.sharma@kpcl.com / worker.nitin@kpcl.com</t>
        </is>
      </c>
      <c r="D4" s="22" t="inlineStr">
        <is>
          <t>Role &amp; Contact ID</t>
        </is>
      </c>
      <c r="E4" s="21" t="inlineStr">
        <is>
          <t>Email address containing domain identifiers (e.g., .admin@kpcl.com, .contractor@kpcl.com, worker.*@kpcl.com) to instantly filter admins vs project workers vs staff engineers.</t>
        </is>
      </c>
    </row>
    <row r="5">
      <c r="A5" s="30" t="inlineStr">
        <is>
          <t>Role_Category</t>
        </is>
      </c>
      <c r="B5" s="29" t="inlineStr">
        <is>
          <t>Categorical</t>
        </is>
      </c>
      <c r="C5" s="30" t="inlineStr">
        <is>
          <t>System Admin / Department Head / Project Head / Staff Engineer / Project Worker</t>
        </is>
      </c>
      <c r="D5" s="30" t="inlineStr">
        <is>
          <t>Explicit Role Classification</t>
        </is>
      </c>
      <c r="E5" s="29" t="inlineStr">
        <is>
          <t>Classifies user type and the platform profile: 'System Admin' -&gt; Admin (Head), full access; 'Department Head' -&gt; department-wide access and permissions; 'Project Head' -&gt; project timelines, demand and the project team's access; 'Staff Engineer' / 'Project Worker' -&gt; Engineer (assigned licences, own requests).</t>
        </is>
      </c>
    </row>
    <row r="6">
      <c r="A6" s="22" t="inlineStr">
        <is>
          <t>Employee_Role</t>
        </is>
      </c>
      <c r="B6" s="21" t="inlineStr">
        <is>
          <t>String</t>
        </is>
      </c>
      <c r="C6" s="22" t="inlineStr">
        <is>
          <t>Senior Mechanical Engineer</t>
        </is>
      </c>
      <c r="D6" s="22" t="inlineStr">
        <is>
          <t>Role Title</t>
        </is>
      </c>
      <c r="E6" s="21" t="inlineStr">
        <is>
          <t>Specific job title of the employee.</t>
        </is>
      </c>
    </row>
    <row r="7">
      <c r="A7" s="30" t="inlineStr">
        <is>
          <t>Department</t>
        </is>
      </c>
      <c r="B7" s="29" t="inlineStr">
        <is>
          <t>Categorical</t>
        </is>
      </c>
      <c r="C7" s="30" t="inlineStr">
        <is>
          <t>Product R&amp;D</t>
        </is>
      </c>
      <c r="D7" s="30" t="inlineStr">
        <is>
          <t>Organizational Unit</t>
        </is>
      </c>
      <c r="E7" s="29" t="inlineStr">
        <is>
          <t>Department requesting license access.</t>
        </is>
      </c>
    </row>
    <row r="8">
      <c r="A8" s="22" t="inlineStr">
        <is>
          <t>Admin_Name</t>
        </is>
      </c>
      <c r="B8" s="21" t="inlineStr">
        <is>
          <t>String</t>
        </is>
      </c>
      <c r="C8" s="22" t="inlineStr">
        <is>
          <t>Prakash Varma</t>
        </is>
      </c>
      <c r="D8" s="22" t="inlineStr">
        <is>
          <t>Governance &amp; Admin ID</t>
        </is>
      </c>
      <c r="E8" s="21" t="inlineStr">
        <is>
          <t>Name of the assigned System / SAM Administrator overseeing license allocation.</t>
        </is>
      </c>
    </row>
    <row r="9">
      <c r="A9" s="30" t="inlineStr">
        <is>
          <t>Admin_ID</t>
        </is>
      </c>
      <c r="B9" s="29" t="inlineStr">
        <is>
          <t>String</t>
        </is>
      </c>
      <c r="C9" s="30" t="inlineStr">
        <is>
          <t>ADM101</t>
        </is>
      </c>
      <c r="D9" s="30" t="inlineStr">
        <is>
          <t>Governance &amp; Admin ID</t>
        </is>
      </c>
      <c r="E9" s="29" t="inlineStr">
        <is>
          <t>Unique ID of the supervising Admin.</t>
        </is>
      </c>
    </row>
    <row r="10">
      <c r="A10" s="22" t="inlineStr">
        <is>
          <t>Admin_Email</t>
        </is>
      </c>
      <c r="B10" s="21" t="inlineStr">
        <is>
          <t>String</t>
        </is>
      </c>
      <c r="C10" s="22" t="inlineStr">
        <is>
          <t>prakash.varma.admin@kpcl.com</t>
        </is>
      </c>
      <c r="D10" s="22" t="inlineStr">
        <is>
          <t>Governance &amp; Admin ID</t>
        </is>
      </c>
      <c r="E10" s="21" t="inlineStr">
        <is>
          <t>Domain email of the IT/SAM Administrator responsible for approving license reallocations.</t>
        </is>
      </c>
    </row>
    <row r="11">
      <c r="A11" s="30" t="inlineStr">
        <is>
          <t>Admin_Dept</t>
        </is>
      </c>
      <c r="B11" s="29" t="inlineStr">
        <is>
          <t>Categorical</t>
        </is>
      </c>
      <c r="C11" s="30" t="inlineStr">
        <is>
          <t>IT &amp; SAM</t>
        </is>
      </c>
      <c r="D11" s="30" t="inlineStr">
        <is>
          <t>Admin Unit</t>
        </is>
      </c>
      <c r="E11" s="29" t="inlineStr">
        <is>
          <t>Department of the supervisor admin.</t>
        </is>
      </c>
    </row>
    <row r="12">
      <c r="A12" s="22" t="inlineStr">
        <is>
          <t>Project_ID</t>
        </is>
      </c>
      <c r="B12" s="21" t="inlineStr">
        <is>
          <t>Categorical</t>
        </is>
      </c>
      <c r="C12" s="22" t="inlineStr">
        <is>
          <t>PRJ-KPCL-01</t>
        </is>
      </c>
      <c r="D12" s="22" t="inlineStr">
        <is>
          <t>Project Context</t>
        </is>
      </c>
      <c r="E12" s="21" t="inlineStr">
        <is>
          <t>Project allocation ID.</t>
        </is>
      </c>
    </row>
    <row r="13">
      <c r="A13" s="30" t="inlineStr">
        <is>
          <t>Project_Phase</t>
        </is>
      </c>
      <c r="B13" s="29" t="inlineStr">
        <is>
          <t>Categorical</t>
        </is>
      </c>
      <c r="C13" s="30" t="inlineStr">
        <is>
          <t>CAD Drafting / CFD Simulation</t>
        </is>
      </c>
      <c r="D13" s="30" t="inlineStr">
        <is>
          <t>Workload Feature</t>
        </is>
      </c>
      <c r="E13" s="29" t="inlineStr">
        <is>
          <t>Current phase of project driving compute vs idle profiles.</t>
        </is>
      </c>
    </row>
    <row r="14">
      <c r="A14" s="22" t="inlineStr">
        <is>
          <t>Software_Tool</t>
        </is>
      </c>
      <c r="B14" s="21" t="inlineStr">
        <is>
          <t>Categorical</t>
        </is>
      </c>
      <c r="C14" s="22" t="inlineStr">
        <is>
          <t>ANSYS Mechanical / SolidWorks</t>
        </is>
      </c>
      <c r="D14" s="22" t="inlineStr">
        <is>
          <t>Resource Feature</t>
        </is>
      </c>
      <c r="E14" s="21" t="inlineStr">
        <is>
          <t>Target engineering software application.</t>
        </is>
      </c>
    </row>
    <row r="15">
      <c r="A15" s="30" t="inlineStr">
        <is>
          <t>Session_Duration_Hrs</t>
        </is>
      </c>
      <c r="B15" s="29" t="inlineStr">
        <is>
          <t>Float</t>
        </is>
      </c>
      <c r="C15" s="30" t="inlineStr">
        <is>
          <t>8.5</t>
        </is>
      </c>
      <c r="D15" s="30" t="inlineStr">
        <is>
          <t>Telemetry Feature</t>
        </is>
      </c>
      <c r="E15" s="29" t="inlineStr">
        <is>
          <t>Total hours the license was checked out.</t>
        </is>
      </c>
    </row>
    <row r="16">
      <c r="A16" s="22" t="inlineStr">
        <is>
          <t>Active_Usage_Hrs</t>
        </is>
      </c>
      <c r="B16" s="21" t="inlineStr">
        <is>
          <t>Float</t>
        </is>
      </c>
      <c r="C16" s="22" t="inlineStr">
        <is>
          <t>3.2</t>
        </is>
      </c>
      <c r="D16" s="22" t="inlineStr">
        <is>
          <t>Telemetry Feature</t>
        </is>
      </c>
      <c r="E16" s="21" t="inlineStr">
        <is>
          <t>Hours with active CPU/GPU solver run or GUI interaction.</t>
        </is>
      </c>
    </row>
    <row r="17">
      <c r="A17" s="30" t="inlineStr">
        <is>
          <t>Idle_Duration_Hrs</t>
        </is>
      </c>
      <c r="B17" s="29" t="inlineStr">
        <is>
          <t>Float</t>
        </is>
      </c>
      <c r="C17" s="30" t="inlineStr">
        <is>
          <t>5.3</t>
        </is>
      </c>
      <c r="D17" s="30" t="inlineStr">
        <is>
          <t>Target Feature</t>
        </is>
      </c>
      <c r="E17" s="29" t="inlineStr">
        <is>
          <t>Calculated idle time (= Session_Duration - Active_Usage).</t>
        </is>
      </c>
    </row>
    <row r="18">
      <c r="A18" s="22" t="inlineStr">
        <is>
          <t>CPU_GPU_Utilization_Pct</t>
        </is>
      </c>
      <c r="B18" s="21" t="inlineStr">
        <is>
          <t>Percentage</t>
        </is>
      </c>
      <c r="C18" s="22" t="inlineStr">
        <is>
          <t>0.08 (8%)</t>
        </is>
      </c>
      <c r="D18" s="22" t="inlineStr">
        <is>
          <t>Workstation Telemetry</t>
        </is>
      </c>
      <c r="E18" s="21" t="inlineStr">
        <is>
          <t>Level 2 workstation metric to differentiate background idle CAD from active CAE compute.</t>
        </is>
      </c>
    </row>
    <row r="19">
      <c r="A19" s="30" t="inlineStr">
        <is>
          <t>Keyboard_Mouse_Activity_Pct</t>
        </is>
      </c>
      <c r="B19" s="29" t="inlineStr">
        <is>
          <t>Percentage</t>
        </is>
      </c>
      <c r="C19" s="30" t="inlineStr">
        <is>
          <t>0.12 (12%)</t>
        </is>
      </c>
      <c r="D19" s="30" t="inlineStr">
        <is>
          <t>Workstation Telemetry</t>
        </is>
      </c>
      <c r="E19" s="29" t="inlineStr">
        <is>
          <t>Level 2 workstation user input activity ratio.</t>
        </is>
      </c>
    </row>
    <row r="20">
      <c r="A20" s="22" t="inlineStr">
        <is>
          <t>Concurrency_Peak</t>
        </is>
      </c>
      <c r="B20" s="21" t="inlineStr">
        <is>
          <t>Integer</t>
        </is>
      </c>
      <c r="C20" s="22" t="inlineStr">
        <is>
          <t>18</t>
        </is>
      </c>
      <c r="D20" s="22" t="inlineStr">
        <is>
          <t>Demand Target</t>
        </is>
      </c>
      <c r="E20" s="21" t="inlineStr">
        <is>
          <t>Total concurrent checkouts during peak hour (ML target for XGBoost).</t>
        </is>
      </c>
    </row>
    <row r="21">
      <c r="A21" s="30" t="inlineStr">
        <is>
          <t>Idle_Session_Flag</t>
        </is>
      </c>
      <c r="B21" s="29" t="inlineStr">
        <is>
          <t>Binary (0/1)</t>
        </is>
      </c>
      <c r="C21" s="30" t="inlineStr">
        <is>
          <t>1</t>
        </is>
      </c>
      <c r="D21" s="30" t="inlineStr">
        <is>
          <t>Classification Target</t>
        </is>
      </c>
      <c r="E21" s="29" t="inlineStr">
        <is>
          <t>1 = Reclaimable idle session (&gt; 2 hrs idle &amp; low CPU), 0 = Active session.</t>
        </is>
      </c>
    </row>
    <row r="22">
      <c r="A22" s="22" t="inlineStr">
        <is>
          <t>Estimated_Wasted_Cost</t>
        </is>
      </c>
      <c r="B22" s="21" t="inlineStr">
        <is>
          <t>Currency Formula</t>
        </is>
      </c>
      <c r="C22" s="22" t="inlineStr">
        <is>
          <t>$79.50</t>
        </is>
      </c>
      <c r="D22" s="22" t="inlineStr">
        <is>
          <t>Financial Metric</t>
        </is>
      </c>
      <c r="E22" s="21" t="inlineStr">
        <is>
          <t>Formula: Idle_Duration_Hrs * Hourly_License_Cost.</t>
        </is>
      </c>
    </row>
    <row r="23">
      <c r="A23" s="30" t="inlineStr">
        <is>
          <t>Recommended_Action</t>
        </is>
      </c>
      <c r="B23" s="29" t="inlineStr">
        <is>
          <t>Categorical</t>
        </is>
      </c>
      <c r="C23" s="30" t="inlineStr">
        <is>
          <t>Harvest Idle Session &amp; Suspend</t>
        </is>
      </c>
      <c r="D23" s="30" t="inlineStr">
        <is>
          <t>Rule Engine Output</t>
        </is>
      </c>
      <c r="E23" s="29" t="inlineStr">
        <is>
          <t>Recommendation generated by rule engine for SAM admin action.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2026-10-24T18:40:09Z</dcterms:created>
  <dcterms:modified xmlns:dcterms="http://purl.org/dc/terms/" xmlns:xsi="http://www.w3.org/2001/XMLSchema-instance" xsi:type="dcterms:W3CDTF">2026-10-25T03:36:06Z</dcterms:modified>
</cp:coreProperties>
</file>